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" sheetId="1" state="visible" r:id="rId3"/>
    <sheet name="Echo (tests 2, 3E)" sheetId="2" state="visible" r:id="rId4"/>
    <sheet name="Echo rule vs others" sheetId="3" state="visible" r:id="rId5"/>
    <sheet name="Parity (test 3P)" sheetId="4" state="visible" r:id="rId6"/>
    <sheet name="Parity Vstar" sheetId="5" state="visible" r:id="rId7"/>
    <sheet name="QELM A (kingston)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<sst xmlns="http://schemas.openxmlformats.org/spreadsheetml/2006/main" count="1424" uniqueCount="89">
  <si>
    <t xml:space="preserve">Device tests of 2026-10-30 (raw per-cell values)</t>
  </si>
  <si>
    <t xml:space="preserve">Devices / calibration</t>
  </si>
  <si>
    <t xml:space="preserve">ibm_kingston (fetch 11:02 CET; at submission 11:54, 12:17); ibm_marrakesh (fetch 10:20; at submission 11:47, 12:08)</t>
  </si>
  <si>
    <t xml:space="preserve">Declarations</t>
  </si>
  <si>
    <t xml:space="preserve">test 2 echo_hz_note.md 1308cf9b... + addendum 1 a206c81a...; test 3 test3_note.md 8b13773f... + addenda 1c484fa8..., 78986cf3...; QELM A qelm_A_note.md 8c26afd7... + addendum 1 4cfff876... (kingston only)</t>
  </si>
  <si>
    <t xml:space="preserve">Billed</t>
  </si>
  <si>
    <t xml:space="preserve">marrakesh 67 + 71 + 81 + 54 = 273 s; kingston 65 + 69 + 78 + 53 + 69 + 71 + 70 = 475 s; total 748 s (model about 900 s)</t>
  </si>
  <si>
    <t xml:space="preserve">Arms</t>
  </si>
  <si>
    <t xml:space="preserve">rule = fold:rule, zipcyc = fold:zipcyc, blind Qiskit = qiskit:2:blind:template (map-free)</t>
  </si>
  <si>
    <t xml:space="preserve">Colour</t>
  </si>
  <si>
    <t xml:space="preserve">blue = values from the score files (computed from raw_counts.json); black = formulas</t>
  </si>
  <si>
    <t xml:space="preserve">Not here</t>
  </si>
  <si>
    <t xml:space="preserve">the bit-string counts themselves (raw_counts.json per job, in TOQB results)</t>
  </si>
  <si>
    <t xml:space="preserve">device</t>
  </si>
  <si>
    <t xml:space="preserve">test</t>
  </si>
  <si>
    <t xml:space="preserve">n</t>
  </si>
  <si>
    <t xml:space="preserve">hz</t>
  </si>
  <si>
    <t xml:space="preserve">D (full depth)</t>
  </si>
  <si>
    <t xml:space="preserve">arm</t>
  </si>
  <si>
    <t xml:space="preserve">rho_E (weight 1)</t>
  </si>
  <si>
    <t xml:space="preserve">SE</t>
  </si>
  <si>
    <t xml:space="preserve">signal / SE</t>
  </si>
  <si>
    <t xml:space="preserve">weight-2 echo</t>
  </si>
  <si>
    <t xml:space="preserve">SE w2</t>
  </si>
  <si>
    <t xml:space="preserve">2Q gates</t>
  </si>
  <si>
    <t xml:space="preserve">duration (us)</t>
  </si>
  <si>
    <t xml:space="preserve">readable (&gt; 2 SE)</t>
  </si>
  <si>
    <t xml:space="preserve">kingston</t>
  </si>
  <si>
    <t xml:space="preserve">2</t>
  </si>
  <si>
    <t xml:space="preserve">rule</t>
  </si>
  <si>
    <t xml:space="preserve">zipcyc</t>
  </si>
  <si>
    <t xml:space="preserve">blind Qiskit</t>
  </si>
  <si>
    <t xml:space="preserve">3E</t>
  </si>
  <si>
    <t xml:space="preserve">marrakesh</t>
  </si>
  <si>
    <t xml:space="preserve">D</t>
  </si>
  <si>
    <t xml:space="preserve">other</t>
  </si>
  <si>
    <t xml:space="preserve">rho rule</t>
  </si>
  <si>
    <t xml:space="preserve">SE rule</t>
  </si>
  <si>
    <t xml:space="preserve">rho other</t>
  </si>
  <si>
    <t xml:space="preserve">SE other</t>
  </si>
  <si>
    <t xml:space="preserve">diff</t>
  </si>
  <si>
    <t xml:space="preserve">SE diff</t>
  </si>
  <si>
    <t xml:space="preserve">z</t>
  </si>
  <si>
    <t xml:space="preserve">judged? (either &gt; 2 SE)</t>
  </si>
  <si>
    <t xml:space="preserve">verdict</t>
  </si>
  <si>
    <t xml:space="preserve">WIN</t>
  </si>
  <si>
    <t xml:space="preserve">TIE</t>
  </si>
  <si>
    <t xml:space="preserve">LOSS</t>
  </si>
  <si>
    <t xml:space="preserve">NOT JUDGED</t>
  </si>
  <si>
    <t xml:space="preserve">L</t>
  </si>
  <si>
    <t xml:space="preserve">n x L</t>
  </si>
  <si>
    <t xml:space="preserve">P(|+..+&gt;)</t>
  </si>
  <si>
    <t xml:space="preserve">P(|-..-&gt;)</t>
  </si>
  <si>
    <t xml:space="preserve">P(|-+..+&gt;)</t>
  </si>
  <si>
    <t xml:space="preserve">P(|+-..-&gt;)</t>
  </si>
  <si>
    <t xml:space="preserve">ref Neel</t>
  </si>
  <si>
    <t xml:space="preserve">ref anti-Neel</t>
  </si>
  <si>
    <t xml:space="preserve">ref Neel f</t>
  </si>
  <si>
    <t xml:space="preserve">ref anti-Neel f</t>
  </si>
  <si>
    <t xml:space="preserve">num (signed mean)</t>
  </si>
  <si>
    <t xml:space="preserve">ref (signed mean)</t>
  </si>
  <si>
    <t xml:space="preserve">rho_P = num / ref</t>
  </si>
  <si>
    <t xml:space="preserve">Reference signs: Neel and anti-Neel have parity (-1)^(n/2); with the first bit flipped, the opposite. The ref column is the readout factor (1 for a perfect readout).</t>
  </si>
  <si>
    <t xml:space="preserve">V* (fit)</t>
  </si>
  <si>
    <t xml:space="preserve">declared V*</t>
  </si>
  <si>
    <t xml:space="preserve">band low</t>
  </si>
  <si>
    <t xml:space="preserve">band high</t>
  </si>
  <si>
    <t xml:space="preserve">P-A verdict (n 20, 36)</t>
  </si>
  <si>
    <t xml:space="preserve">Declared V*_rule = 2 L* of 2026-10-29 (kingston 171, marrakesh 113); V*_zipcyc = V*_rule / 3.6. Band +-20 % widened by 2 SE.</t>
  </si>
  <si>
    <t xml:space="preserve">S (shots)</t>
  </si>
  <si>
    <t xml:space="preserve">test accuracy</t>
  </si>
  <si>
    <t xml:space="preserve">declared mean</t>
  </si>
  <si>
    <t xml:space="preserve">declared low (99 %)</t>
  </si>
  <si>
    <t xml:space="preserve">declared high (99 %)</t>
  </si>
  <si>
    <t xml:space="preserve">inside band?</t>
  </si>
  <si>
    <t xml:space="preserve">lambda X (median)</t>
  </si>
  <si>
    <t xml:space="preserve">lambda Y</t>
  </si>
  <si>
    <t xml:space="preserve">lambda Z</t>
  </si>
  <si>
    <t xml:space="preserve">declared lambda</t>
  </si>
  <si>
    <t xml:space="preserve">chi2/dof median</t>
  </si>
  <si>
    <t xml:space="preserve">Q1</t>
  </si>
  <si>
    <t xml:space="preserve">Q3a rule vs zipcyc (one-sided McNemar, Holm)</t>
  </si>
  <si>
    <t xml:space="preserve">S64</t>
  </si>
  <si>
    <t xml:space="preserve">rule only right</t>
  </si>
  <si>
    <t xml:space="preserve">zipcyc only right</t>
  </si>
  <si>
    <t xml:space="preserve">p (one-sided)</t>
  </si>
  <si>
    <t xml:space="preserve">S250</t>
  </si>
  <si>
    <t xml:space="preserve">Q3a verdict: WIN (Holm [True, True]); Q3b (rule vs blind Qiskit, reported): not</t>
  </si>
  <si>
    <t xml:space="preserve">R baselines: raw x 0.555, noiseless ceiling 0.840, majority 0.510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</si>
</sst>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0.0"/>
    <numFmt numFmtId="167" formatCode="0.000"/>
    <numFmt numFmtId="168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4E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0"/>
  </cols>
  <sheetData>
    <row r="1" customFormat="false" ht="1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1" t="s">
        <v>1</v>
      </c>
      <c r="B2" s="2" t="s">
        <v>2</v>
      </c>
    </row>
    <row r="3" customFormat="false" ht="15" hidden="false" customHeight="false" outlineLevel="0" collapsed="false">
      <c r="A3" s="1" t="s">
        <v>3</v>
      </c>
      <c r="B3" s="2" t="s">
        <v>4</v>
      </c>
    </row>
    <row r="4" customFormat="false" ht="15" hidden="false" customHeight="false" outlineLevel="0" collapsed="false">
      <c r="A4" s="1" t="s">
        <v>5</v>
      </c>
      <c r="B4" s="2" t="s">
        <v>6</v>
      </c>
    </row>
    <row r="5" customFormat="false" ht="15" hidden="false" customHeight="false" outlineLevel="0" collapsed="false">
      <c r="A5" s="1" t="s">
        <v>7</v>
      </c>
      <c r="B5" s="2" t="s">
        <v>8</v>
      </c>
    </row>
    <row r="6" customFormat="false" ht="15" hidden="false" customHeight="false" outlineLevel="0" collapsed="false">
      <c r="A6" s="1" t="s">
        <v>9</v>
      </c>
      <c r="B6" s="2" t="s">
        <v>10</v>
      </c>
    </row>
    <row r="7" customFormat="false" ht="15" hidden="false" customHeight="false" outlineLevel="0" collapsed="false">
      <c r="A7" s="1" t="s">
        <v>11</v>
      </c>
      <c r="B7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5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9" min="8" style="0" width="8"/>
    <col collapsed="false" customWidth="true" hidden="false" outlineLevel="0" max="10" min="10" style="0" width="10"/>
    <col collapsed="false" customWidth="true" hidden="false" outlineLevel="0" max="12" min="11" style="0" width="8"/>
    <col collapsed="false" customWidth="true" hidden="false" outlineLevel="0" max="14" min="13" style="0" width="10"/>
  </cols>
  <sheetData>
    <row r="1" customFormat="false" ht="23.85" hidden="false" customHeight="false" outlineLevel="0" collapsed="false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</row>
    <row r="2" customFormat="false" ht="15" hidden="false" customHeight="false" outlineLevel="0" collapsed="false">
      <c r="A2" s="0" t="s">
        <v>27</v>
      </c>
      <c r="B2" s="0" t="s">
        <v>28</v>
      </c>
      <c r="C2" s="0" t="n">
        <v>20</v>
      </c>
      <c r="D2" s="0" t="n">
        <v>0</v>
      </c>
      <c r="E2" s="0" t="n">
        <v>24</v>
      </c>
      <c r="F2" s="0" t="s">
        <v>29</v>
      </c>
      <c r="G2" s="4" t="n">
        <v>0.366260390636952</v>
      </c>
      <c r="H2" s="4" t="n">
        <v>0.0107801719536609</v>
      </c>
      <c r="I2" s="5" t="n">
        <f aca="false">G2/H2</f>
        <v>33.9753755516463</v>
      </c>
      <c r="J2" s="4" t="n">
        <v>0.438468740247581</v>
      </c>
      <c r="K2" s="4" t="n">
        <v>0.00934120917071753</v>
      </c>
      <c r="L2" s="6" t="n">
        <v>480</v>
      </c>
      <c r="M2" s="7" t="n">
        <v>7.332</v>
      </c>
      <c r="N2" s="0" t="str">
        <f aca="false">IF(G2&gt;2*H2,"yes","no")</f>
        <v>yes</v>
      </c>
    </row>
    <row r="3" customFormat="false" ht="15" hidden="false" customHeight="false" outlineLevel="0" collapsed="false">
      <c r="A3" s="0" t="s">
        <v>27</v>
      </c>
      <c r="B3" s="0" t="s">
        <v>28</v>
      </c>
      <c r="C3" s="0" t="n">
        <v>20</v>
      </c>
      <c r="D3" s="0" t="n">
        <v>0</v>
      </c>
      <c r="E3" s="0" t="n">
        <v>24</v>
      </c>
      <c r="F3" s="0" t="s">
        <v>30</v>
      </c>
      <c r="G3" s="4" t="n">
        <v>0.0790509791890372</v>
      </c>
      <c r="H3" s="4" t="n">
        <v>0.00759443963969706</v>
      </c>
      <c r="I3" s="5" t="n">
        <f aca="false">G3/H3</f>
        <v>10.4090601728965</v>
      </c>
      <c r="J3" s="4" t="n">
        <v>0.15077373483898</v>
      </c>
      <c r="K3" s="4" t="n">
        <v>0.00684382441519981</v>
      </c>
      <c r="L3" s="6" t="n">
        <v>1104</v>
      </c>
      <c r="M3" s="7" t="n">
        <v>14.82</v>
      </c>
      <c r="N3" s="0" t="str">
        <f aca="false">IF(G3&gt;2*H3,"yes","no")</f>
        <v>yes</v>
      </c>
    </row>
    <row r="4" customFormat="false" ht="15" hidden="false" customHeight="false" outlineLevel="0" collapsed="false">
      <c r="A4" s="0" t="s">
        <v>27</v>
      </c>
      <c r="B4" s="0" t="s">
        <v>28</v>
      </c>
      <c r="C4" s="0" t="n">
        <v>20</v>
      </c>
      <c r="D4" s="0" t="n">
        <v>0</v>
      </c>
      <c r="E4" s="0" t="n">
        <v>24</v>
      </c>
      <c r="F4" s="0" t="s">
        <v>31</v>
      </c>
      <c r="G4" s="4" t="n">
        <v>-0.0307085797281876</v>
      </c>
      <c r="H4" s="4" t="n">
        <v>0.00604842398023318</v>
      </c>
      <c r="I4" s="5" t="n">
        <f aca="false">G4/H4</f>
        <v>-5.07712088777938</v>
      </c>
      <c r="J4" s="4" t="n">
        <v>0.13179128563744</v>
      </c>
      <c r="K4" s="4" t="n">
        <v>0.0054450040780968</v>
      </c>
      <c r="L4" s="6" t="n">
        <v>480</v>
      </c>
      <c r="M4" s="7" t="n">
        <v>37.668</v>
      </c>
      <c r="N4" s="0" t="str">
        <f aca="false">IF(G4&gt;2*H4,"yes","no")</f>
        <v>no</v>
      </c>
    </row>
    <row r="5" customFormat="false" ht="15" hidden="false" customHeight="false" outlineLevel="0" collapsed="false">
      <c r="A5" s="0" t="s">
        <v>27</v>
      </c>
      <c r="B5" s="0" t="s">
        <v>28</v>
      </c>
      <c r="C5" s="0" t="n">
        <v>20</v>
      </c>
      <c r="D5" s="0" t="n">
        <v>0</v>
      </c>
      <c r="E5" s="0" t="n">
        <v>50</v>
      </c>
      <c r="F5" s="0" t="s">
        <v>29</v>
      </c>
      <c r="G5" s="4" t="n">
        <v>0.0985865183446446</v>
      </c>
      <c r="H5" s="4" t="n">
        <v>0.00850647018120925</v>
      </c>
      <c r="I5" s="5" t="n">
        <f aca="false">G5/H5</f>
        <v>11.589591951127</v>
      </c>
      <c r="J5" s="4" t="n">
        <v>0.214642782753593</v>
      </c>
      <c r="K5" s="4" t="n">
        <v>0.00753343454616987</v>
      </c>
      <c r="L5" s="6" t="n">
        <v>1000</v>
      </c>
      <c r="M5" s="7" t="n">
        <v>12.844</v>
      </c>
      <c r="N5" s="0" t="str">
        <f aca="false">IF(G5&gt;2*H5,"yes","no")</f>
        <v>yes</v>
      </c>
    </row>
    <row r="6" customFormat="false" ht="15" hidden="false" customHeight="false" outlineLevel="0" collapsed="false">
      <c r="A6" s="0" t="s">
        <v>27</v>
      </c>
      <c r="B6" s="0" t="s">
        <v>28</v>
      </c>
      <c r="C6" s="0" t="n">
        <v>20</v>
      </c>
      <c r="D6" s="0" t="n">
        <v>0</v>
      </c>
      <c r="E6" s="0" t="n">
        <v>50</v>
      </c>
      <c r="F6" s="0" t="s">
        <v>30</v>
      </c>
      <c r="G6" s="4" t="n">
        <v>-0.000408977046163284</v>
      </c>
      <c r="H6" s="4" t="n">
        <v>0.00543982654208321</v>
      </c>
      <c r="I6" s="5" t="n">
        <f aca="false">G6/H6</f>
        <v>-0.0751820013008473</v>
      </c>
      <c r="J6" s="4" t="n">
        <v>0.0366732838783826</v>
      </c>
      <c r="K6" s="4" t="n">
        <v>0.00540727625913202</v>
      </c>
      <c r="L6" s="6" t="n">
        <v>2300</v>
      </c>
      <c r="M6" s="7" t="n">
        <v>28.444</v>
      </c>
      <c r="N6" s="0" t="str">
        <f aca="false">IF(G6&gt;2*H6,"yes","no")</f>
        <v>no</v>
      </c>
    </row>
    <row r="7" customFormat="false" ht="15" hidden="false" customHeight="false" outlineLevel="0" collapsed="false">
      <c r="A7" s="0" t="s">
        <v>27</v>
      </c>
      <c r="B7" s="0" t="s">
        <v>28</v>
      </c>
      <c r="C7" s="0" t="n">
        <v>20</v>
      </c>
      <c r="D7" s="0" t="n">
        <v>0</v>
      </c>
      <c r="E7" s="0" t="n">
        <v>50</v>
      </c>
      <c r="F7" s="0" t="s">
        <v>31</v>
      </c>
      <c r="G7" s="4" t="n">
        <v>0.000673610031607856</v>
      </c>
      <c r="H7" s="4" t="n">
        <v>0.00536409493215042</v>
      </c>
      <c r="I7" s="5" t="n">
        <f aca="false">G7/H7</f>
        <v>0.125577574619436</v>
      </c>
      <c r="J7" s="4" t="n">
        <v>0.026542015903718</v>
      </c>
      <c r="K7" s="4" t="n">
        <v>0.00539839436666616</v>
      </c>
      <c r="L7" s="6" t="n">
        <v>1000</v>
      </c>
      <c r="M7" s="7" t="n">
        <v>76.044</v>
      </c>
      <c r="N7" s="0" t="str">
        <f aca="false">IF(G7&gt;2*H7,"yes","no")</f>
        <v>no</v>
      </c>
    </row>
    <row r="8" customFormat="false" ht="15" hidden="false" customHeight="false" outlineLevel="0" collapsed="false">
      <c r="A8" s="0" t="s">
        <v>27</v>
      </c>
      <c r="B8" s="0" t="s">
        <v>28</v>
      </c>
      <c r="C8" s="0" t="n">
        <v>20</v>
      </c>
      <c r="D8" s="0" t="n">
        <v>0</v>
      </c>
      <c r="E8" s="0" t="n">
        <v>100</v>
      </c>
      <c r="F8" s="0" t="s">
        <v>29</v>
      </c>
      <c r="G8" s="4" t="n">
        <v>0.00695687758964653</v>
      </c>
      <c r="H8" s="4" t="n">
        <v>0.00589667497403009</v>
      </c>
      <c r="I8" s="5" t="n">
        <f aca="false">G8/H8</f>
        <v>1.17979668546863</v>
      </c>
      <c r="J8" s="4" t="n">
        <v>0.0921080175842579</v>
      </c>
      <c r="K8" s="4" t="n">
        <v>0.00565951894071368</v>
      </c>
      <c r="L8" s="6" t="n">
        <v>2000</v>
      </c>
      <c r="M8" s="7" t="n">
        <v>23.444</v>
      </c>
      <c r="N8" s="0" t="str">
        <f aca="false">IF(G8&gt;2*H8,"yes","no")</f>
        <v>no</v>
      </c>
    </row>
    <row r="9" customFormat="false" ht="15" hidden="false" customHeight="false" outlineLevel="0" collapsed="false">
      <c r="A9" s="0" t="s">
        <v>27</v>
      </c>
      <c r="B9" s="0" t="s">
        <v>28</v>
      </c>
      <c r="C9" s="0" t="n">
        <v>20</v>
      </c>
      <c r="D9" s="0" t="n">
        <v>0</v>
      </c>
      <c r="E9" s="0" t="n">
        <v>100</v>
      </c>
      <c r="F9" s="0" t="s">
        <v>30</v>
      </c>
      <c r="G9" s="4" t="n">
        <v>0.011092368246179</v>
      </c>
      <c r="H9" s="4" t="n">
        <v>0.00511065391103366</v>
      </c>
      <c r="I9" s="5" t="n">
        <f aca="false">G9/H9</f>
        <v>2.17044011182818</v>
      </c>
      <c r="J9" s="4" t="n">
        <v>0.00731758310683671</v>
      </c>
      <c r="K9" s="4" t="n">
        <v>0.0052311541635874</v>
      </c>
      <c r="L9" s="6" t="n">
        <v>4600</v>
      </c>
      <c r="M9" s="7" t="n">
        <v>54.644</v>
      </c>
      <c r="N9" s="0" t="str">
        <f aca="false">IF(G9&gt;2*H9,"yes","no")</f>
        <v>yes</v>
      </c>
    </row>
    <row r="10" customFormat="false" ht="15" hidden="false" customHeight="false" outlineLevel="0" collapsed="false">
      <c r="A10" s="0" t="s">
        <v>27</v>
      </c>
      <c r="B10" s="0" t="s">
        <v>28</v>
      </c>
      <c r="C10" s="0" t="n">
        <v>20</v>
      </c>
      <c r="D10" s="0" t="n">
        <v>0</v>
      </c>
      <c r="E10" s="0" t="n">
        <v>100</v>
      </c>
      <c r="F10" s="0" t="s">
        <v>31</v>
      </c>
      <c r="G10" s="4" t="n">
        <v>0.00626748161193412</v>
      </c>
      <c r="H10" s="4" t="n">
        <v>0.00521446799453487</v>
      </c>
      <c r="I10" s="5" t="n">
        <f aca="false">G10/H10</f>
        <v>1.20194075761955</v>
      </c>
      <c r="J10" s="4" t="n">
        <v>0.00354191263282172</v>
      </c>
      <c r="K10" s="4" t="n">
        <v>0.00536216826489228</v>
      </c>
      <c r="L10" s="6" t="n">
        <v>2000</v>
      </c>
      <c r="M10" s="7" t="n">
        <v>149.844</v>
      </c>
      <c r="N10" s="0" t="str">
        <f aca="false">IF(G10&gt;2*H10,"yes","no")</f>
        <v>no</v>
      </c>
    </row>
    <row r="11" customFormat="false" ht="15" hidden="false" customHeight="false" outlineLevel="0" collapsed="false">
      <c r="A11" s="0" t="s">
        <v>27</v>
      </c>
      <c r="B11" s="0" t="s">
        <v>28</v>
      </c>
      <c r="C11" s="0" t="n">
        <v>20</v>
      </c>
      <c r="D11" s="0" t="n">
        <v>0.1</v>
      </c>
      <c r="E11" s="0" t="n">
        <v>24</v>
      </c>
      <c r="F11" s="0" t="s">
        <v>29</v>
      </c>
      <c r="G11" s="4" t="n">
        <v>0.387377250409165</v>
      </c>
      <c r="H11" s="4" t="n">
        <v>0.010181549120408</v>
      </c>
      <c r="I11" s="5" t="n">
        <f aca="false">G11/H11</f>
        <v>38.0469853681405</v>
      </c>
      <c r="J11" s="4" t="n">
        <v>0.452385935537882</v>
      </c>
      <c r="K11" s="4" t="n">
        <v>0.00889830961250774</v>
      </c>
      <c r="L11" s="6" t="n">
        <v>480</v>
      </c>
      <c r="M11" s="7" t="n">
        <v>7.332</v>
      </c>
      <c r="N11" s="0" t="str">
        <f aca="false">IF(G11&gt;2*H11,"yes","no")</f>
        <v>yes</v>
      </c>
    </row>
    <row r="12" customFormat="false" ht="15" hidden="false" customHeight="false" outlineLevel="0" collapsed="false">
      <c r="A12" s="0" t="s">
        <v>27</v>
      </c>
      <c r="B12" s="0" t="s">
        <v>28</v>
      </c>
      <c r="C12" s="0" t="n">
        <v>20</v>
      </c>
      <c r="D12" s="0" t="n">
        <v>0.1</v>
      </c>
      <c r="E12" s="0" t="n">
        <v>24</v>
      </c>
      <c r="F12" s="0" t="s">
        <v>30</v>
      </c>
      <c r="G12" s="4" t="n">
        <v>0.0736362705966636</v>
      </c>
      <c r="H12" s="4" t="n">
        <v>0.00705232025101688</v>
      </c>
      <c r="I12" s="5" t="n">
        <f aca="false">G12/H12</f>
        <v>10.4414246624784</v>
      </c>
      <c r="J12" s="4" t="n">
        <v>0.137425369225935</v>
      </c>
      <c r="K12" s="4" t="n">
        <v>0.0066537612490569</v>
      </c>
      <c r="L12" s="6" t="n">
        <v>1104</v>
      </c>
      <c r="M12" s="7" t="n">
        <v>14.82</v>
      </c>
      <c r="N12" s="0" t="str">
        <f aca="false">IF(G12&gt;2*H12,"yes","no")</f>
        <v>yes</v>
      </c>
    </row>
    <row r="13" customFormat="false" ht="15" hidden="false" customHeight="false" outlineLevel="0" collapsed="false">
      <c r="A13" s="0" t="s">
        <v>27</v>
      </c>
      <c r="B13" s="0" t="s">
        <v>28</v>
      </c>
      <c r="C13" s="0" t="n">
        <v>20</v>
      </c>
      <c r="D13" s="0" t="n">
        <v>0.1</v>
      </c>
      <c r="E13" s="0" t="n">
        <v>24</v>
      </c>
      <c r="F13" s="0" t="s">
        <v>31</v>
      </c>
      <c r="G13" s="4" t="n">
        <v>-0.014420583048034</v>
      </c>
      <c r="H13" s="4" t="n">
        <v>0.00594274579044837</v>
      </c>
      <c r="I13" s="5" t="n">
        <f aca="false">G13/H13</f>
        <v>-2.42658588412311</v>
      </c>
      <c r="J13" s="4" t="n">
        <v>0.101517924426741</v>
      </c>
      <c r="K13" s="4" t="n">
        <v>0.00554815342464546</v>
      </c>
      <c r="L13" s="6" t="n">
        <v>480</v>
      </c>
      <c r="M13" s="7" t="n">
        <v>37.668</v>
      </c>
      <c r="N13" s="0" t="str">
        <f aca="false">IF(G13&gt;2*H13,"yes","no")</f>
        <v>no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0" t="n">
        <v>20</v>
      </c>
      <c r="D14" s="0" t="n">
        <v>0.1</v>
      </c>
      <c r="E14" s="0" t="n">
        <v>50</v>
      </c>
      <c r="F14" s="0" t="s">
        <v>29</v>
      </c>
      <c r="G14" s="4" t="n">
        <v>0.104123026618301</v>
      </c>
      <c r="H14" s="4" t="n">
        <v>0.00829110517551633</v>
      </c>
      <c r="I14" s="5" t="n">
        <f aca="false">G14/H14</f>
        <v>12.5584013728081</v>
      </c>
      <c r="J14" s="4" t="n">
        <v>0.206075790792358</v>
      </c>
      <c r="K14" s="4" t="n">
        <v>0.00732695891998119</v>
      </c>
      <c r="L14" s="6" t="n">
        <v>1000</v>
      </c>
      <c r="M14" s="7" t="n">
        <v>12.844</v>
      </c>
      <c r="N14" s="0" t="str">
        <f aca="false">IF(G14&gt;2*H14,"yes","no")</f>
        <v>yes</v>
      </c>
    </row>
    <row r="15" customFormat="false" ht="15" hidden="false" customHeight="false" outlineLevel="0" collapsed="false">
      <c r="A15" s="0" t="s">
        <v>27</v>
      </c>
      <c r="B15" s="0" t="s">
        <v>28</v>
      </c>
      <c r="C15" s="0" t="n">
        <v>20</v>
      </c>
      <c r="D15" s="0" t="n">
        <v>0.1</v>
      </c>
      <c r="E15" s="0" t="n">
        <v>50</v>
      </c>
      <c r="F15" s="0" t="s">
        <v>30</v>
      </c>
      <c r="G15" s="4" t="n">
        <v>0.0118397550395509</v>
      </c>
      <c r="H15" s="4" t="n">
        <v>0.00525491273152437</v>
      </c>
      <c r="I15" s="5" t="n">
        <f aca="false">G15/H15</f>
        <v>2.25308309470562</v>
      </c>
      <c r="J15" s="4" t="n">
        <v>0.0405292769326943</v>
      </c>
      <c r="K15" s="4" t="n">
        <v>0.00523127268811988</v>
      </c>
      <c r="L15" s="6" t="n">
        <v>2300</v>
      </c>
      <c r="M15" s="7" t="n">
        <v>28.444</v>
      </c>
      <c r="N15" s="0" t="str">
        <f aca="false">IF(G15&gt;2*H15,"yes","no")</f>
        <v>yes</v>
      </c>
    </row>
    <row r="16" customFormat="false" ht="15" hidden="false" customHeight="false" outlineLevel="0" collapsed="false">
      <c r="A16" s="0" t="s">
        <v>27</v>
      </c>
      <c r="B16" s="0" t="s">
        <v>28</v>
      </c>
      <c r="C16" s="0" t="n">
        <v>20</v>
      </c>
      <c r="D16" s="0" t="n">
        <v>0.1</v>
      </c>
      <c r="E16" s="0" t="n">
        <v>50</v>
      </c>
      <c r="F16" s="0" t="s">
        <v>31</v>
      </c>
      <c r="G16" s="4" t="n">
        <v>5.18510836876491E-005</v>
      </c>
      <c r="H16" s="4" t="n">
        <v>0.00532862981798915</v>
      </c>
      <c r="I16" s="5" t="n">
        <f aca="false">G16/H16</f>
        <v>0.00973065974907899</v>
      </c>
      <c r="J16" s="4" t="n">
        <v>0.0328996882055693</v>
      </c>
      <c r="K16" s="4" t="n">
        <v>0.00541335118345875</v>
      </c>
      <c r="L16" s="6" t="n">
        <v>1000</v>
      </c>
      <c r="M16" s="7" t="n">
        <v>76.044</v>
      </c>
      <c r="N16" s="0" t="str">
        <f aca="false">IF(G16&gt;2*H16,"yes","no")</f>
        <v>no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20</v>
      </c>
      <c r="D17" s="0" t="n">
        <v>0.1</v>
      </c>
      <c r="E17" s="0" t="n">
        <v>100</v>
      </c>
      <c r="F17" s="0" t="s">
        <v>29</v>
      </c>
      <c r="G17" s="4" t="n">
        <v>0.000562113546936481</v>
      </c>
      <c r="H17" s="4" t="n">
        <v>0.00575256416655478</v>
      </c>
      <c r="I17" s="5" t="n">
        <f aca="false">G17/H17</f>
        <v>0.0977153023697835</v>
      </c>
      <c r="J17" s="4" t="n">
        <v>0.0849352277475972</v>
      </c>
      <c r="K17" s="4" t="n">
        <v>0.00556421954703334</v>
      </c>
      <c r="L17" s="6" t="n">
        <v>2000</v>
      </c>
      <c r="M17" s="7" t="n">
        <v>23.444</v>
      </c>
      <c r="N17" s="0" t="str">
        <f aca="false">IF(G17&gt;2*H17,"yes","no")</f>
        <v>no</v>
      </c>
    </row>
    <row r="18" customFormat="false" ht="15" hidden="false" customHeight="false" outlineLevel="0" collapsed="false">
      <c r="A18" s="0" t="s">
        <v>27</v>
      </c>
      <c r="B18" s="0" t="s">
        <v>28</v>
      </c>
      <c r="C18" s="0" t="n">
        <v>20</v>
      </c>
      <c r="D18" s="0" t="n">
        <v>0.1</v>
      </c>
      <c r="E18" s="0" t="n">
        <v>100</v>
      </c>
      <c r="F18" s="0" t="s">
        <v>30</v>
      </c>
      <c r="G18" s="4" t="n">
        <v>-0.000204384037606662</v>
      </c>
      <c r="H18" s="4" t="n">
        <v>0.0050107545123965</v>
      </c>
      <c r="I18" s="5" t="n">
        <f aca="false">G18/H18</f>
        <v>-0.0407890742005063</v>
      </c>
      <c r="J18" s="4" t="n">
        <v>0.00428153717627402</v>
      </c>
      <c r="K18" s="4" t="n">
        <v>0.00524147364186675</v>
      </c>
      <c r="L18" s="6" t="n">
        <v>4600</v>
      </c>
      <c r="M18" s="7" t="n">
        <v>54.644</v>
      </c>
      <c r="N18" s="0" t="str">
        <f aca="false">IF(G18&gt;2*H18,"yes","no")</f>
        <v>no</v>
      </c>
    </row>
    <row r="19" customFormat="false" ht="15" hidden="false" customHeight="false" outlineLevel="0" collapsed="false">
      <c r="A19" s="0" t="s">
        <v>27</v>
      </c>
      <c r="B19" s="0" t="s">
        <v>28</v>
      </c>
      <c r="C19" s="0" t="n">
        <v>20</v>
      </c>
      <c r="D19" s="0" t="n">
        <v>0.1</v>
      </c>
      <c r="E19" s="0" t="n">
        <v>100</v>
      </c>
      <c r="F19" s="0" t="s">
        <v>31</v>
      </c>
      <c r="G19" s="4" t="n">
        <v>0.0101120099564406</v>
      </c>
      <c r="H19" s="4" t="n">
        <v>0.00511425957950339</v>
      </c>
      <c r="I19" s="5" t="n">
        <f aca="false">G19/H19</f>
        <v>1.97721875459096</v>
      </c>
      <c r="J19" s="4" t="n">
        <v>0.00408865935011836</v>
      </c>
      <c r="K19" s="4" t="n">
        <v>0.00539867845433</v>
      </c>
      <c r="L19" s="6" t="n">
        <v>2000</v>
      </c>
      <c r="M19" s="7" t="n">
        <v>149.844</v>
      </c>
      <c r="N19" s="0" t="str">
        <f aca="false">IF(G19&gt;2*H19,"yes","no")</f>
        <v>no</v>
      </c>
    </row>
    <row r="20" customFormat="false" ht="15" hidden="false" customHeight="false" outlineLevel="0" collapsed="false">
      <c r="A20" s="0" t="s">
        <v>27</v>
      </c>
      <c r="B20" s="0" t="s">
        <v>28</v>
      </c>
      <c r="C20" s="0" t="n">
        <v>20</v>
      </c>
      <c r="D20" s="0" t="n">
        <v>0.3</v>
      </c>
      <c r="E20" s="0" t="n">
        <v>24</v>
      </c>
      <c r="F20" s="0" t="s">
        <v>29</v>
      </c>
      <c r="G20" s="4" t="n">
        <v>0.40169543458278</v>
      </c>
      <c r="H20" s="4" t="n">
        <v>0.00971245037118029</v>
      </c>
      <c r="I20" s="5" t="n">
        <f aca="false">G20/H20</f>
        <v>41.3588146380371</v>
      </c>
      <c r="J20" s="4" t="n">
        <v>0.425696110126186</v>
      </c>
      <c r="K20" s="4" t="n">
        <v>0.00909848085962471</v>
      </c>
      <c r="L20" s="6" t="n">
        <v>480</v>
      </c>
      <c r="M20" s="7" t="n">
        <v>7.332</v>
      </c>
      <c r="N20" s="0" t="str">
        <f aca="false">IF(G20&gt;2*H20,"yes","no")</f>
        <v>yes</v>
      </c>
    </row>
    <row r="21" customFormat="false" ht="15" hidden="false" customHeight="false" outlineLevel="0" collapsed="false">
      <c r="A21" s="0" t="s">
        <v>27</v>
      </c>
      <c r="B21" s="0" t="s">
        <v>28</v>
      </c>
      <c r="C21" s="0" t="n">
        <v>20</v>
      </c>
      <c r="D21" s="0" t="n">
        <v>0.3</v>
      </c>
      <c r="E21" s="0" t="n">
        <v>24</v>
      </c>
      <c r="F21" s="0" t="s">
        <v>30</v>
      </c>
      <c r="G21" s="4" t="n">
        <v>0.0964840556009812</v>
      </c>
      <c r="H21" s="4" t="n">
        <v>0.00698151292865016</v>
      </c>
      <c r="I21" s="5" t="n">
        <f aca="false">G21/H21</f>
        <v>13.8199351038996</v>
      </c>
      <c r="J21" s="4" t="n">
        <v>0.120012533946104</v>
      </c>
      <c r="K21" s="4" t="n">
        <v>0.00655156980040573</v>
      </c>
      <c r="L21" s="6" t="n">
        <v>1104</v>
      </c>
      <c r="M21" s="7" t="n">
        <v>14.82</v>
      </c>
      <c r="N21" s="0" t="str">
        <f aca="false">IF(G21&gt;2*H21,"yes","no")</f>
        <v>yes</v>
      </c>
    </row>
    <row r="22" customFormat="false" ht="15" hidden="false" customHeight="false" outlineLevel="0" collapsed="false">
      <c r="A22" s="0" t="s">
        <v>27</v>
      </c>
      <c r="B22" s="0" t="s">
        <v>28</v>
      </c>
      <c r="C22" s="0" t="n">
        <v>20</v>
      </c>
      <c r="D22" s="0" t="n">
        <v>0.3</v>
      </c>
      <c r="E22" s="0" t="n">
        <v>24</v>
      </c>
      <c r="F22" s="0" t="s">
        <v>31</v>
      </c>
      <c r="G22" s="4" t="n">
        <v>0.016704710520855</v>
      </c>
      <c r="H22" s="4" t="n">
        <v>0.0056385080760873</v>
      </c>
      <c r="I22" s="5" t="n">
        <f aca="false">G22/H22</f>
        <v>2.9626117929491</v>
      </c>
      <c r="J22" s="4" t="n">
        <v>0.0720284237726098</v>
      </c>
      <c r="K22" s="4" t="n">
        <v>0.0055560056861838</v>
      </c>
      <c r="L22" s="6" t="n">
        <v>480</v>
      </c>
      <c r="M22" s="7" t="n">
        <v>37.668</v>
      </c>
      <c r="N22" s="0" t="str">
        <f aca="false">IF(G22&gt;2*H22,"yes","no")</f>
        <v>yes</v>
      </c>
    </row>
    <row r="23" customFormat="false" ht="15" hidden="false" customHeight="false" outlineLevel="0" collapsed="false">
      <c r="A23" s="0" t="s">
        <v>27</v>
      </c>
      <c r="B23" s="0" t="s">
        <v>28</v>
      </c>
      <c r="C23" s="0" t="n">
        <v>20</v>
      </c>
      <c r="D23" s="0" t="n">
        <v>0.3</v>
      </c>
      <c r="E23" s="0" t="n">
        <v>50</v>
      </c>
      <c r="F23" s="0" t="s">
        <v>29</v>
      </c>
      <c r="G23" s="4" t="n">
        <v>0.0769859514687101</v>
      </c>
      <c r="H23" s="4" t="n">
        <v>0.0076889968093125</v>
      </c>
      <c r="I23" s="5" t="n">
        <f aca="false">G23/H23</f>
        <v>10.012483211785</v>
      </c>
      <c r="J23" s="4" t="n">
        <v>0.131133848402589</v>
      </c>
      <c r="K23" s="4" t="n">
        <v>0.00720760717544756</v>
      </c>
      <c r="L23" s="6" t="n">
        <v>1000</v>
      </c>
      <c r="M23" s="7" t="n">
        <v>12.844</v>
      </c>
      <c r="N23" s="0" t="str">
        <f aca="false">IF(G23&gt;2*H23,"yes","no")</f>
        <v>yes</v>
      </c>
    </row>
    <row r="24" customFormat="false" ht="15" hidden="false" customHeight="false" outlineLevel="0" collapsed="false">
      <c r="A24" s="0" t="s">
        <v>27</v>
      </c>
      <c r="B24" s="0" t="s">
        <v>28</v>
      </c>
      <c r="C24" s="0" t="n">
        <v>20</v>
      </c>
      <c r="D24" s="0" t="n">
        <v>0.3</v>
      </c>
      <c r="E24" s="0" t="n">
        <v>50</v>
      </c>
      <c r="F24" s="0" t="s">
        <v>30</v>
      </c>
      <c r="G24" s="4" t="n">
        <v>-0.00781329792666735</v>
      </c>
      <c r="H24" s="4" t="n">
        <v>0.00516846312526593</v>
      </c>
      <c r="I24" s="5" t="n">
        <f aca="false">G24/H24</f>
        <v>-1.51172558211206</v>
      </c>
      <c r="J24" s="4" t="n">
        <v>0.0124126421195369</v>
      </c>
      <c r="K24" s="4" t="n">
        <v>0.00526612886121233</v>
      </c>
      <c r="L24" s="6" t="n">
        <v>2300</v>
      </c>
      <c r="M24" s="7" t="n">
        <v>28.444</v>
      </c>
      <c r="N24" s="0" t="str">
        <f aca="false">IF(G24&gt;2*H24,"yes","no")</f>
        <v>no</v>
      </c>
    </row>
    <row r="25" customFormat="false" ht="15" hidden="false" customHeight="false" outlineLevel="0" collapsed="false">
      <c r="A25" s="0" t="s">
        <v>27</v>
      </c>
      <c r="B25" s="0" t="s">
        <v>28</v>
      </c>
      <c r="C25" s="0" t="n">
        <v>20</v>
      </c>
      <c r="D25" s="0" t="n">
        <v>0.3</v>
      </c>
      <c r="E25" s="0" t="n">
        <v>50</v>
      </c>
      <c r="F25" s="0" t="s">
        <v>31</v>
      </c>
      <c r="G25" s="4" t="n">
        <v>-0.00767475627463182</v>
      </c>
      <c r="H25" s="4" t="n">
        <v>0.00515938481731036</v>
      </c>
      <c r="I25" s="5" t="n">
        <f aca="false">G25/H25</f>
        <v>-1.48753321304549</v>
      </c>
      <c r="J25" s="4" t="n">
        <v>0.0148498870117293</v>
      </c>
      <c r="K25" s="4" t="n">
        <v>0.00541746849879157</v>
      </c>
      <c r="L25" s="6" t="n">
        <v>1000</v>
      </c>
      <c r="M25" s="7" t="n">
        <v>76.044</v>
      </c>
      <c r="N25" s="0" t="str">
        <f aca="false">IF(G25&gt;2*H25,"yes","no")</f>
        <v>no</v>
      </c>
    </row>
    <row r="26" customFormat="false" ht="15" hidden="false" customHeight="false" outlineLevel="0" collapsed="false">
      <c r="A26" s="0" t="s">
        <v>27</v>
      </c>
      <c r="B26" s="0" t="s">
        <v>28</v>
      </c>
      <c r="C26" s="0" t="n">
        <v>20</v>
      </c>
      <c r="D26" s="0" t="n">
        <v>0.3</v>
      </c>
      <c r="E26" s="0" t="n">
        <v>100</v>
      </c>
      <c r="F26" s="0" t="s">
        <v>29</v>
      </c>
      <c r="G26" s="4" t="n">
        <v>0.0011233660130719</v>
      </c>
      <c r="H26" s="4" t="n">
        <v>0.00537800879393802</v>
      </c>
      <c r="I26" s="5" t="n">
        <f aca="false">G26/H26</f>
        <v>0.208881401298215</v>
      </c>
      <c r="J26" s="4" t="n">
        <v>0.01877738368454</v>
      </c>
      <c r="K26" s="4" t="n">
        <v>0.005317749581065</v>
      </c>
      <c r="L26" s="6" t="n">
        <v>2000</v>
      </c>
      <c r="M26" s="7" t="n">
        <v>23.444</v>
      </c>
      <c r="N26" s="0" t="str">
        <f aca="false">IF(G26&gt;2*H26,"yes","no")</f>
        <v>no</v>
      </c>
    </row>
    <row r="27" customFormat="false" ht="15" hidden="false" customHeight="false" outlineLevel="0" collapsed="false">
      <c r="A27" s="0" t="s">
        <v>27</v>
      </c>
      <c r="B27" s="0" t="s">
        <v>28</v>
      </c>
      <c r="C27" s="0" t="n">
        <v>20</v>
      </c>
      <c r="D27" s="0" t="n">
        <v>0.3</v>
      </c>
      <c r="E27" s="0" t="n">
        <v>100</v>
      </c>
      <c r="F27" s="0" t="s">
        <v>30</v>
      </c>
      <c r="G27" s="4" t="n">
        <v>-0.00307188203972967</v>
      </c>
      <c r="H27" s="4" t="n">
        <v>0.00522873579980833</v>
      </c>
      <c r="I27" s="5" t="n">
        <f aca="false">G27/H27</f>
        <v>-0.587499953591513</v>
      </c>
      <c r="J27" s="4" t="n">
        <v>0.00964461683614635</v>
      </c>
      <c r="K27" s="4" t="n">
        <v>0.0051085855032365</v>
      </c>
      <c r="L27" s="6" t="n">
        <v>4600</v>
      </c>
      <c r="M27" s="7" t="n">
        <v>54.644</v>
      </c>
      <c r="N27" s="0" t="str">
        <f aca="false">IF(G27&gt;2*H27,"yes","no")</f>
        <v>no</v>
      </c>
    </row>
    <row r="28" customFormat="false" ht="15" hidden="false" customHeight="false" outlineLevel="0" collapsed="false">
      <c r="A28" s="0" t="s">
        <v>27</v>
      </c>
      <c r="B28" s="0" t="s">
        <v>28</v>
      </c>
      <c r="C28" s="0" t="n">
        <v>20</v>
      </c>
      <c r="D28" s="0" t="n">
        <v>0.3</v>
      </c>
      <c r="E28" s="0" t="n">
        <v>100</v>
      </c>
      <c r="F28" s="0" t="s">
        <v>31</v>
      </c>
      <c r="G28" s="4" t="n">
        <v>0.0127500777443765</v>
      </c>
      <c r="H28" s="4" t="n">
        <v>0.00516898857553642</v>
      </c>
      <c r="I28" s="5" t="n">
        <f aca="false">G28/H28</f>
        <v>2.46664846672704</v>
      </c>
      <c r="J28" s="4" t="n">
        <v>-0.00193444384739388</v>
      </c>
      <c r="K28" s="4" t="n">
        <v>0.00535653322566016</v>
      </c>
      <c r="L28" s="6" t="n">
        <v>2000</v>
      </c>
      <c r="M28" s="7" t="n">
        <v>149.844</v>
      </c>
      <c r="N28" s="0" t="str">
        <f aca="false">IF(G28&gt;2*H28,"yes","no")</f>
        <v>yes</v>
      </c>
    </row>
    <row r="29" customFormat="false" ht="15" hidden="false" customHeight="false" outlineLevel="0" collapsed="false">
      <c r="A29" s="0" t="s">
        <v>27</v>
      </c>
      <c r="B29" s="0" t="s">
        <v>28</v>
      </c>
      <c r="C29" s="0" t="n">
        <v>36</v>
      </c>
      <c r="D29" s="0" t="n">
        <v>0</v>
      </c>
      <c r="E29" s="0" t="n">
        <v>24</v>
      </c>
      <c r="F29" s="0" t="s">
        <v>29</v>
      </c>
      <c r="G29" s="4" t="n">
        <v>0.426208359612407</v>
      </c>
      <c r="H29" s="4" t="n">
        <v>0.00805323001424567</v>
      </c>
      <c r="I29" s="5" t="n">
        <f aca="false">G29/H29</f>
        <v>52.9239024414392</v>
      </c>
      <c r="J29" s="4" t="n">
        <v>0.497633976103159</v>
      </c>
      <c r="K29" s="4" t="n">
        <v>0.00694727816883931</v>
      </c>
      <c r="L29" s="6" t="n">
        <v>864</v>
      </c>
      <c r="M29" s="7" t="n">
        <v>8.004</v>
      </c>
      <c r="N29" s="0" t="str">
        <f aca="false">IF(G29&gt;2*H29,"yes","no")</f>
        <v>yes</v>
      </c>
    </row>
    <row r="30" customFormat="false" ht="15" hidden="false" customHeight="false" outlineLevel="0" collapsed="false">
      <c r="A30" s="0" t="s">
        <v>27</v>
      </c>
      <c r="B30" s="0" t="s">
        <v>28</v>
      </c>
      <c r="C30" s="0" t="n">
        <v>36</v>
      </c>
      <c r="D30" s="0" t="n">
        <v>0</v>
      </c>
      <c r="E30" s="0" t="n">
        <v>24</v>
      </c>
      <c r="F30" s="0" t="s">
        <v>30</v>
      </c>
      <c r="G30" s="4" t="n">
        <v>0.0950430972767103</v>
      </c>
      <c r="H30" s="4" t="n">
        <v>0.00565805103911965</v>
      </c>
      <c r="I30" s="5" t="n">
        <f aca="false">G30/H30</f>
        <v>16.7978508181676</v>
      </c>
      <c r="J30" s="4" t="n">
        <v>0.162208444050782</v>
      </c>
      <c r="K30" s="4" t="n">
        <v>0.00521149855021182</v>
      </c>
      <c r="L30" s="6" t="n">
        <v>2064</v>
      </c>
      <c r="M30" s="7" t="n">
        <v>16.164</v>
      </c>
      <c r="N30" s="0" t="str">
        <f aca="false">IF(G30&gt;2*H30,"yes","no")</f>
        <v>yes</v>
      </c>
    </row>
    <row r="31" customFormat="false" ht="15" hidden="false" customHeight="false" outlineLevel="0" collapsed="false">
      <c r="A31" s="0" t="s">
        <v>27</v>
      </c>
      <c r="B31" s="0" t="s">
        <v>28</v>
      </c>
      <c r="C31" s="0" t="n">
        <v>36</v>
      </c>
      <c r="D31" s="0" t="n">
        <v>0</v>
      </c>
      <c r="E31" s="0" t="n">
        <v>24</v>
      </c>
      <c r="F31" s="0" t="s">
        <v>31</v>
      </c>
      <c r="G31" s="4" t="n">
        <v>0.00992903742703446</v>
      </c>
      <c r="H31" s="4" t="n">
        <v>0.00433367312504825</v>
      </c>
      <c r="I31" s="5" t="n">
        <f aca="false">G31/H31</f>
        <v>2.29113667333272</v>
      </c>
      <c r="J31" s="4" t="n">
        <v>0.0902982435459154</v>
      </c>
      <c r="K31" s="4" t="n">
        <v>0.00400538835620062</v>
      </c>
      <c r="L31" s="6" t="n">
        <v>864</v>
      </c>
      <c r="M31" s="7" t="n">
        <v>64.068</v>
      </c>
      <c r="N31" s="0" t="str">
        <f aca="false">IF(G31&gt;2*H31,"yes","no")</f>
        <v>yes</v>
      </c>
    </row>
    <row r="32" customFormat="false" ht="15" hidden="false" customHeight="false" outlineLevel="0" collapsed="false">
      <c r="A32" s="0" t="s">
        <v>27</v>
      </c>
      <c r="B32" s="0" t="s">
        <v>28</v>
      </c>
      <c r="C32" s="0" t="n">
        <v>36</v>
      </c>
      <c r="D32" s="0" t="n">
        <v>0</v>
      </c>
      <c r="E32" s="0" t="n">
        <v>50</v>
      </c>
      <c r="F32" s="0" t="s">
        <v>29</v>
      </c>
      <c r="G32" s="4" t="n">
        <v>0.0570471719716052</v>
      </c>
      <c r="H32" s="4" t="n">
        <v>0.00634982364753519</v>
      </c>
      <c r="I32" s="5" t="n">
        <f aca="false">G32/H32</f>
        <v>8.9840561152827</v>
      </c>
      <c r="J32" s="4" t="n">
        <v>0.214909176692616</v>
      </c>
      <c r="K32" s="4" t="n">
        <v>0.00548228260543038</v>
      </c>
      <c r="L32" s="6" t="n">
        <v>1800</v>
      </c>
      <c r="M32" s="7" t="n">
        <v>14.244</v>
      </c>
      <c r="N32" s="0" t="str">
        <f aca="false">IF(G32&gt;2*H32,"yes","no")</f>
        <v>yes</v>
      </c>
    </row>
    <row r="33" customFormat="false" ht="15" hidden="false" customHeight="false" outlineLevel="0" collapsed="false">
      <c r="A33" s="0" t="s">
        <v>27</v>
      </c>
      <c r="B33" s="0" t="s">
        <v>28</v>
      </c>
      <c r="C33" s="0" t="n">
        <v>36</v>
      </c>
      <c r="D33" s="0" t="n">
        <v>0</v>
      </c>
      <c r="E33" s="0" t="n">
        <v>50</v>
      </c>
      <c r="F33" s="0" t="s">
        <v>30</v>
      </c>
      <c r="G33" s="4" t="n">
        <v>0.00214795085488444</v>
      </c>
      <c r="H33" s="4" t="n">
        <v>0.00403216947315115</v>
      </c>
      <c r="I33" s="5" t="n">
        <f aca="false">G33/H33</f>
        <v>0.532703515858378</v>
      </c>
      <c r="J33" s="4" t="n">
        <v>0.0422377126654064</v>
      </c>
      <c r="K33" s="4" t="n">
        <v>0.00418234131811781</v>
      </c>
      <c r="L33" s="6" t="n">
        <v>4300</v>
      </c>
      <c r="M33" s="7" t="n">
        <v>31.244</v>
      </c>
      <c r="N33" s="0" t="str">
        <f aca="false">IF(G33&gt;2*H33,"yes","no")</f>
        <v>no</v>
      </c>
    </row>
    <row r="34" customFormat="false" ht="15" hidden="false" customHeight="false" outlineLevel="0" collapsed="false">
      <c r="A34" s="0" t="s">
        <v>27</v>
      </c>
      <c r="B34" s="0" t="s">
        <v>28</v>
      </c>
      <c r="C34" s="0" t="n">
        <v>36</v>
      </c>
      <c r="D34" s="0" t="n">
        <v>0</v>
      </c>
      <c r="E34" s="0" t="n">
        <v>50</v>
      </c>
      <c r="F34" s="0" t="s">
        <v>31</v>
      </c>
      <c r="G34" s="4" t="n">
        <v>-0.003465559215237</v>
      </c>
      <c r="H34" s="4" t="n">
        <v>0.00377616601857204</v>
      </c>
      <c r="I34" s="5" t="n">
        <f aca="false">G34/H34</f>
        <v>-0.917745458804671</v>
      </c>
      <c r="J34" s="4" t="n">
        <v>0.0172474896633196</v>
      </c>
      <c r="K34" s="4" t="n">
        <v>0.00391335697591487</v>
      </c>
      <c r="L34" s="6" t="n">
        <v>1800</v>
      </c>
      <c r="M34" s="7" t="n">
        <v>131.044</v>
      </c>
      <c r="N34" s="0" t="str">
        <f aca="false">IF(G34&gt;2*H34,"yes","no")</f>
        <v>no</v>
      </c>
    </row>
    <row r="35" customFormat="false" ht="15" hidden="false" customHeight="false" outlineLevel="0" collapsed="false">
      <c r="A35" s="0" t="s">
        <v>27</v>
      </c>
      <c r="B35" s="0" t="s">
        <v>28</v>
      </c>
      <c r="C35" s="0" t="n">
        <v>36</v>
      </c>
      <c r="D35" s="0" t="n">
        <v>0</v>
      </c>
      <c r="E35" s="0" t="n">
        <v>100</v>
      </c>
      <c r="F35" s="0" t="s">
        <v>29</v>
      </c>
      <c r="G35" s="4" t="n">
        <v>0.00432850795470833</v>
      </c>
      <c r="H35" s="4" t="n">
        <v>0.00447403151154932</v>
      </c>
      <c r="I35" s="5" t="n">
        <f aca="false">G35/H35</f>
        <v>0.967473730020602</v>
      </c>
      <c r="J35" s="4" t="n">
        <v>0.101336961665878</v>
      </c>
      <c r="K35" s="4" t="n">
        <v>0.00439921925147168</v>
      </c>
      <c r="L35" s="6" t="n">
        <v>3600</v>
      </c>
      <c r="M35" s="7" t="n">
        <v>26.244</v>
      </c>
      <c r="N35" s="0" t="str">
        <f aca="false">IF(G35&gt;2*H35,"yes","no")</f>
        <v>no</v>
      </c>
    </row>
    <row r="36" customFormat="false" ht="15" hidden="false" customHeight="false" outlineLevel="0" collapsed="false">
      <c r="A36" s="0" t="s">
        <v>27</v>
      </c>
      <c r="B36" s="0" t="s">
        <v>28</v>
      </c>
      <c r="C36" s="0" t="n">
        <v>36</v>
      </c>
      <c r="D36" s="0" t="n">
        <v>0</v>
      </c>
      <c r="E36" s="0" t="n">
        <v>100</v>
      </c>
      <c r="F36" s="0" t="s">
        <v>30</v>
      </c>
      <c r="G36" s="4" t="n">
        <v>-0.0038666437532222</v>
      </c>
      <c r="H36" s="4" t="n">
        <v>0.00381613524083809</v>
      </c>
      <c r="I36" s="5" t="n">
        <f aca="false">G36/H36</f>
        <v>-1.01323551425631</v>
      </c>
      <c r="J36" s="4" t="n">
        <v>-0.00253912016533806</v>
      </c>
      <c r="K36" s="4" t="n">
        <v>0.00386234684854713</v>
      </c>
      <c r="L36" s="6" t="n">
        <v>8600</v>
      </c>
      <c r="M36" s="7" t="n">
        <v>60.244</v>
      </c>
      <c r="N36" s="0" t="str">
        <f aca="false">IF(G36&gt;2*H36,"yes","no")</f>
        <v>no</v>
      </c>
    </row>
    <row r="37" customFormat="false" ht="15" hidden="false" customHeight="false" outlineLevel="0" collapsed="false">
      <c r="A37" s="0" t="s">
        <v>27</v>
      </c>
      <c r="B37" s="0" t="s">
        <v>28</v>
      </c>
      <c r="C37" s="0" t="n">
        <v>36</v>
      </c>
      <c r="D37" s="0" t="n">
        <v>0</v>
      </c>
      <c r="E37" s="0" t="n">
        <v>100</v>
      </c>
      <c r="F37" s="0" t="s">
        <v>31</v>
      </c>
      <c r="G37" s="4" t="n">
        <v>-0.00302701467816551</v>
      </c>
      <c r="H37" s="4" t="n">
        <v>0.00390765500272763</v>
      </c>
      <c r="I37" s="5" t="n">
        <f aca="false">G37/H37</f>
        <v>-0.774637135584537</v>
      </c>
      <c r="J37" s="4" t="n">
        <v>-0.00358128339106441</v>
      </c>
      <c r="K37" s="4" t="n">
        <v>0.00397517719440422</v>
      </c>
      <c r="L37" s="6" t="n">
        <v>3600</v>
      </c>
      <c r="M37" s="7" t="n">
        <v>259.844</v>
      </c>
      <c r="N37" s="0" t="str">
        <f aca="false">IF(G37&gt;2*H37,"yes","no")</f>
        <v>no</v>
      </c>
    </row>
    <row r="38" customFormat="false" ht="15" hidden="false" customHeight="false" outlineLevel="0" collapsed="false">
      <c r="A38" s="0" t="s">
        <v>27</v>
      </c>
      <c r="B38" s="0" t="s">
        <v>28</v>
      </c>
      <c r="C38" s="0" t="n">
        <v>36</v>
      </c>
      <c r="D38" s="0" t="n">
        <v>0.1</v>
      </c>
      <c r="E38" s="0" t="n">
        <v>24</v>
      </c>
      <c r="F38" s="0" t="s">
        <v>29</v>
      </c>
      <c r="G38" s="4" t="n">
        <v>0.436080114449213</v>
      </c>
      <c r="H38" s="4" t="n">
        <v>0.00766874836155116</v>
      </c>
      <c r="I38" s="5" t="n">
        <f aca="false">G38/H38</f>
        <v>56.8645747506321</v>
      </c>
      <c r="J38" s="4" t="n">
        <v>0.502093283802111</v>
      </c>
      <c r="K38" s="4" t="n">
        <v>0.00657060021691217</v>
      </c>
      <c r="L38" s="6" t="n">
        <v>864</v>
      </c>
      <c r="M38" s="7" t="n">
        <v>8.004</v>
      </c>
      <c r="N38" s="0" t="str">
        <f aca="false">IF(G38&gt;2*H38,"yes","no")</f>
        <v>yes</v>
      </c>
    </row>
    <row r="39" customFormat="false" ht="15" hidden="false" customHeight="false" outlineLevel="0" collapsed="false">
      <c r="A39" s="0" t="s">
        <v>27</v>
      </c>
      <c r="B39" s="0" t="s">
        <v>28</v>
      </c>
      <c r="C39" s="0" t="n">
        <v>36</v>
      </c>
      <c r="D39" s="0" t="n">
        <v>0.1</v>
      </c>
      <c r="E39" s="0" t="n">
        <v>24</v>
      </c>
      <c r="F39" s="0" t="s">
        <v>30</v>
      </c>
      <c r="G39" s="4" t="n">
        <v>0.111384721108693</v>
      </c>
      <c r="H39" s="4" t="n">
        <v>0.00577166929758726</v>
      </c>
      <c r="I39" s="5" t="n">
        <f aca="false">G39/H39</f>
        <v>19.2985279241927</v>
      </c>
      <c r="J39" s="4" t="n">
        <v>0.177609825224374</v>
      </c>
      <c r="K39" s="4" t="n">
        <v>0.00521120369783222</v>
      </c>
      <c r="L39" s="6" t="n">
        <v>2064</v>
      </c>
      <c r="M39" s="7" t="n">
        <v>16.164</v>
      </c>
      <c r="N39" s="0" t="str">
        <f aca="false">IF(G39&gt;2*H39,"yes","no")</f>
        <v>yes</v>
      </c>
    </row>
    <row r="40" customFormat="false" ht="15" hidden="false" customHeight="false" outlineLevel="0" collapsed="false">
      <c r="A40" s="0" t="s">
        <v>27</v>
      </c>
      <c r="B40" s="0" t="s">
        <v>28</v>
      </c>
      <c r="C40" s="0" t="n">
        <v>36</v>
      </c>
      <c r="D40" s="0" t="n">
        <v>0.1</v>
      </c>
      <c r="E40" s="0" t="n">
        <v>24</v>
      </c>
      <c r="F40" s="0" t="s">
        <v>31</v>
      </c>
      <c r="G40" s="4" t="n">
        <v>-0.00297440297440297</v>
      </c>
      <c r="H40" s="4" t="n">
        <v>0.00418799535319426</v>
      </c>
      <c r="I40" s="5" t="n">
        <f aca="false">G40/H40</f>
        <v>-0.710221173510697</v>
      </c>
      <c r="J40" s="4" t="n">
        <v>0.0885800106013311</v>
      </c>
      <c r="K40" s="4" t="n">
        <v>0.00411269184438723</v>
      </c>
      <c r="L40" s="6" t="n">
        <v>864</v>
      </c>
      <c r="M40" s="7" t="n">
        <v>64.068</v>
      </c>
      <c r="N40" s="0" t="str">
        <f aca="false">IF(G40&gt;2*H40,"yes","no")</f>
        <v>no</v>
      </c>
    </row>
    <row r="41" customFormat="false" ht="15" hidden="false" customHeight="false" outlineLevel="0" collapsed="false">
      <c r="A41" s="0" t="s">
        <v>27</v>
      </c>
      <c r="B41" s="0" t="s">
        <v>28</v>
      </c>
      <c r="C41" s="0" t="n">
        <v>36</v>
      </c>
      <c r="D41" s="0" t="n">
        <v>0.1</v>
      </c>
      <c r="E41" s="0" t="n">
        <v>50</v>
      </c>
      <c r="F41" s="0" t="s">
        <v>29</v>
      </c>
      <c r="G41" s="4" t="n">
        <v>0.0622848290107872</v>
      </c>
      <c r="H41" s="4" t="n">
        <v>0.00589819024449968</v>
      </c>
      <c r="I41" s="5" t="n">
        <f aca="false">G41/H41</f>
        <v>10.559989832283</v>
      </c>
      <c r="J41" s="4" t="n">
        <v>0.201754385964912</v>
      </c>
      <c r="K41" s="4" t="n">
        <v>0.00522520464143489</v>
      </c>
      <c r="L41" s="6" t="n">
        <v>1800</v>
      </c>
      <c r="M41" s="7" t="n">
        <v>14.244</v>
      </c>
      <c r="N41" s="0" t="str">
        <f aca="false">IF(G41&gt;2*H41,"yes","no")</f>
        <v>yes</v>
      </c>
    </row>
    <row r="42" customFormat="false" ht="15" hidden="false" customHeight="false" outlineLevel="0" collapsed="false">
      <c r="A42" s="0" t="s">
        <v>27</v>
      </c>
      <c r="B42" s="0" t="s">
        <v>28</v>
      </c>
      <c r="C42" s="0" t="n">
        <v>36</v>
      </c>
      <c r="D42" s="0" t="n">
        <v>0.1</v>
      </c>
      <c r="E42" s="0" t="n">
        <v>50</v>
      </c>
      <c r="F42" s="0" t="s">
        <v>30</v>
      </c>
      <c r="G42" s="4" t="n">
        <v>-0.000343741048410198</v>
      </c>
      <c r="H42" s="4" t="n">
        <v>0.00400131622416543</v>
      </c>
      <c r="I42" s="5" t="n">
        <f aca="false">G42/H42</f>
        <v>-0.085906993887216</v>
      </c>
      <c r="J42" s="4" t="n">
        <v>0.0345601701423761</v>
      </c>
      <c r="K42" s="4" t="n">
        <v>0.00405648728136659</v>
      </c>
      <c r="L42" s="6" t="n">
        <v>4300</v>
      </c>
      <c r="M42" s="7" t="n">
        <v>31.244</v>
      </c>
      <c r="N42" s="0" t="str">
        <f aca="false">IF(G42&gt;2*H42,"yes","no")</f>
        <v>no</v>
      </c>
    </row>
    <row r="43" customFormat="false" ht="15" hidden="false" customHeight="false" outlineLevel="0" collapsed="false">
      <c r="A43" s="0" t="s">
        <v>27</v>
      </c>
      <c r="B43" s="0" t="s">
        <v>28</v>
      </c>
      <c r="C43" s="0" t="n">
        <v>36</v>
      </c>
      <c r="D43" s="0" t="n">
        <v>0.1</v>
      </c>
      <c r="E43" s="0" t="n">
        <v>50</v>
      </c>
      <c r="F43" s="0" t="s">
        <v>31</v>
      </c>
      <c r="G43" s="4" t="n">
        <v>-0.00180412371134021</v>
      </c>
      <c r="H43" s="4" t="n">
        <v>0.00386553931637617</v>
      </c>
      <c r="I43" s="5" t="n">
        <f aca="false">G43/H43</f>
        <v>-0.466719793457312</v>
      </c>
      <c r="J43" s="4" t="n">
        <v>0.0208468670643123</v>
      </c>
      <c r="K43" s="4" t="n">
        <v>0.00398632862892669</v>
      </c>
      <c r="L43" s="6" t="n">
        <v>1800</v>
      </c>
      <c r="M43" s="7" t="n">
        <v>131.044</v>
      </c>
      <c r="N43" s="0" t="str">
        <f aca="false">IF(G43&gt;2*H43,"yes","no")</f>
        <v>no</v>
      </c>
    </row>
    <row r="44" customFormat="false" ht="15" hidden="false" customHeight="false" outlineLevel="0" collapsed="false">
      <c r="A44" s="0" t="s">
        <v>27</v>
      </c>
      <c r="B44" s="0" t="s">
        <v>28</v>
      </c>
      <c r="C44" s="0" t="n">
        <v>36</v>
      </c>
      <c r="D44" s="0" t="n">
        <v>0.1</v>
      </c>
      <c r="E44" s="0" t="n">
        <v>100</v>
      </c>
      <c r="F44" s="0" t="s">
        <v>29</v>
      </c>
      <c r="G44" s="4" t="n">
        <v>0.000257599175682638</v>
      </c>
      <c r="H44" s="4" t="n">
        <v>0.00432458627350233</v>
      </c>
      <c r="I44" s="5" t="n">
        <f aca="false">G44/H44</f>
        <v>0.0595662011094572</v>
      </c>
      <c r="J44" s="4" t="n">
        <v>0.0936062286186151</v>
      </c>
      <c r="K44" s="4" t="n">
        <v>0.0041944098874994</v>
      </c>
      <c r="L44" s="6" t="n">
        <v>3600</v>
      </c>
      <c r="M44" s="7" t="n">
        <v>26.244</v>
      </c>
      <c r="N44" s="0" t="str">
        <f aca="false">IF(G44&gt;2*H44,"yes","no")</f>
        <v>no</v>
      </c>
    </row>
    <row r="45" customFormat="false" ht="15" hidden="false" customHeight="false" outlineLevel="0" collapsed="false">
      <c r="A45" s="0" t="s">
        <v>27</v>
      </c>
      <c r="B45" s="0" t="s">
        <v>28</v>
      </c>
      <c r="C45" s="0" t="n">
        <v>36</v>
      </c>
      <c r="D45" s="0" t="n">
        <v>0.1</v>
      </c>
      <c r="E45" s="0" t="n">
        <v>100</v>
      </c>
      <c r="F45" s="0" t="s">
        <v>30</v>
      </c>
      <c r="G45" s="4" t="n">
        <v>-0.00590579398526419</v>
      </c>
      <c r="H45" s="4" t="n">
        <v>0.00386783138310085</v>
      </c>
      <c r="I45" s="5" t="n">
        <f aca="false">G45/H45</f>
        <v>-1.52690058079251</v>
      </c>
      <c r="J45" s="4" t="n">
        <v>0.00550263298029702</v>
      </c>
      <c r="K45" s="4" t="n">
        <v>0.00399153719408028</v>
      </c>
      <c r="L45" s="6" t="n">
        <v>8600</v>
      </c>
      <c r="M45" s="7" t="n">
        <v>60.244</v>
      </c>
      <c r="N45" s="0" t="str">
        <f aca="false">IF(G45&gt;2*H45,"yes","no")</f>
        <v>no</v>
      </c>
    </row>
    <row r="46" customFormat="false" ht="15" hidden="false" customHeight="false" outlineLevel="0" collapsed="false">
      <c r="A46" s="0" t="s">
        <v>27</v>
      </c>
      <c r="B46" s="0" t="s">
        <v>28</v>
      </c>
      <c r="C46" s="0" t="n">
        <v>36</v>
      </c>
      <c r="D46" s="0" t="n">
        <v>0.1</v>
      </c>
      <c r="E46" s="0" t="n">
        <v>100</v>
      </c>
      <c r="F46" s="0" t="s">
        <v>31</v>
      </c>
      <c r="G46" s="4" t="n">
        <v>-0.00540525081507751</v>
      </c>
      <c r="H46" s="4" t="n">
        <v>0.00382573671246949</v>
      </c>
      <c r="I46" s="5" t="n">
        <f aca="false">G46/H46</f>
        <v>-1.41286534367611</v>
      </c>
      <c r="J46" s="4" t="n">
        <v>-0.00465308045706208</v>
      </c>
      <c r="K46" s="4" t="n">
        <v>0.00402035401893293</v>
      </c>
      <c r="L46" s="6" t="n">
        <v>3600</v>
      </c>
      <c r="M46" s="7" t="n">
        <v>259.844</v>
      </c>
      <c r="N46" s="0" t="str">
        <f aca="false">IF(G46&gt;2*H46,"yes","no")</f>
        <v>no</v>
      </c>
    </row>
    <row r="47" customFormat="false" ht="15" hidden="false" customHeight="false" outlineLevel="0" collapsed="false">
      <c r="A47" s="0" t="s">
        <v>27</v>
      </c>
      <c r="B47" s="0" t="s">
        <v>28</v>
      </c>
      <c r="C47" s="0" t="n">
        <v>36</v>
      </c>
      <c r="D47" s="0" t="n">
        <v>0.3</v>
      </c>
      <c r="E47" s="0" t="n">
        <v>24</v>
      </c>
      <c r="F47" s="0" t="s">
        <v>29</v>
      </c>
      <c r="G47" s="4" t="n">
        <v>0.438258529883215</v>
      </c>
      <c r="H47" s="4" t="n">
        <v>0.00719236097706989</v>
      </c>
      <c r="I47" s="5" t="n">
        <f aca="false">G47/H47</f>
        <v>60.9338896198948</v>
      </c>
      <c r="J47" s="4" t="n">
        <v>0.464083510261854</v>
      </c>
      <c r="K47" s="4" t="n">
        <v>0.00675479592834272</v>
      </c>
      <c r="L47" s="6" t="n">
        <v>864</v>
      </c>
      <c r="M47" s="7" t="n">
        <v>8.004</v>
      </c>
      <c r="N47" s="0" t="str">
        <f aca="false">IF(G47&gt;2*H47,"yes","no")</f>
        <v>yes</v>
      </c>
    </row>
    <row r="48" customFormat="false" ht="15" hidden="false" customHeight="false" outlineLevel="0" collapsed="false">
      <c r="A48" s="0" t="s">
        <v>27</v>
      </c>
      <c r="B48" s="0" t="s">
        <v>28</v>
      </c>
      <c r="C48" s="0" t="n">
        <v>36</v>
      </c>
      <c r="D48" s="0" t="n">
        <v>0.3</v>
      </c>
      <c r="E48" s="0" t="n">
        <v>24</v>
      </c>
      <c r="F48" s="0" t="s">
        <v>30</v>
      </c>
      <c r="G48" s="4" t="n">
        <v>0.104148177836306</v>
      </c>
      <c r="H48" s="4" t="n">
        <v>0.00512404904347638</v>
      </c>
      <c r="I48" s="5" t="n">
        <f aca="false">G48/H48</f>
        <v>20.325367097901</v>
      </c>
      <c r="J48" s="4" t="n">
        <v>0.133408071748879</v>
      </c>
      <c r="K48" s="4" t="n">
        <v>0.00503152000649461</v>
      </c>
      <c r="L48" s="6" t="n">
        <v>2064</v>
      </c>
      <c r="M48" s="7" t="n">
        <v>16.164</v>
      </c>
      <c r="N48" s="0" t="str">
        <f aca="false">IF(G48&gt;2*H48,"yes","no")</f>
        <v>yes</v>
      </c>
    </row>
    <row r="49" customFormat="false" ht="15" hidden="false" customHeight="false" outlineLevel="0" collapsed="false">
      <c r="A49" s="0" t="s">
        <v>27</v>
      </c>
      <c r="B49" s="0" t="s">
        <v>28</v>
      </c>
      <c r="C49" s="0" t="n">
        <v>36</v>
      </c>
      <c r="D49" s="0" t="n">
        <v>0.3</v>
      </c>
      <c r="E49" s="0" t="n">
        <v>24</v>
      </c>
      <c r="F49" s="0" t="s">
        <v>31</v>
      </c>
      <c r="G49" s="4" t="n">
        <v>0.00449611959105358</v>
      </c>
      <c r="H49" s="4" t="n">
        <v>0.00408446025611372</v>
      </c>
      <c r="I49" s="5" t="n">
        <f aca="false">G49/H49</f>
        <v>1.1007867157781</v>
      </c>
      <c r="J49" s="4" t="n">
        <v>0.0547257807426649</v>
      </c>
      <c r="K49" s="4" t="n">
        <v>0.00400992970418607</v>
      </c>
      <c r="L49" s="6" t="n">
        <v>864</v>
      </c>
      <c r="M49" s="7" t="n">
        <v>64.068</v>
      </c>
      <c r="N49" s="0" t="str">
        <f aca="false">IF(G49&gt;2*H49,"yes","no")</f>
        <v>no</v>
      </c>
    </row>
    <row r="50" customFormat="false" ht="15" hidden="false" customHeight="false" outlineLevel="0" collapsed="false">
      <c r="A50" s="0" t="s">
        <v>27</v>
      </c>
      <c r="B50" s="0" t="s">
        <v>28</v>
      </c>
      <c r="C50" s="0" t="n">
        <v>36</v>
      </c>
      <c r="D50" s="0" t="n">
        <v>0.3</v>
      </c>
      <c r="E50" s="0" t="n">
        <v>50</v>
      </c>
      <c r="F50" s="0" t="s">
        <v>29</v>
      </c>
      <c r="G50" s="4" t="n">
        <v>0.0483570630532558</v>
      </c>
      <c r="H50" s="4" t="n">
        <v>0.0052381422683616</v>
      </c>
      <c r="I50" s="5" t="n">
        <f aca="false">G50/H50</f>
        <v>9.23172005948228</v>
      </c>
      <c r="J50" s="4" t="n">
        <v>0.112345606051652</v>
      </c>
      <c r="K50" s="4" t="n">
        <v>0.00494768240313059</v>
      </c>
      <c r="L50" s="6" t="n">
        <v>1800</v>
      </c>
      <c r="M50" s="7" t="n">
        <v>14.244</v>
      </c>
      <c r="N50" s="0" t="str">
        <f aca="false">IF(G50&gt;2*H50,"yes","no")</f>
        <v>yes</v>
      </c>
    </row>
    <row r="51" customFormat="false" ht="15" hidden="false" customHeight="false" outlineLevel="0" collapsed="false">
      <c r="A51" s="0" t="s">
        <v>27</v>
      </c>
      <c r="B51" s="0" t="s">
        <v>28</v>
      </c>
      <c r="C51" s="0" t="n">
        <v>36</v>
      </c>
      <c r="D51" s="0" t="n">
        <v>0.3</v>
      </c>
      <c r="E51" s="0" t="n">
        <v>50</v>
      </c>
      <c r="F51" s="0" t="s">
        <v>30</v>
      </c>
      <c r="G51" s="4" t="n">
        <v>-0.00226140722505296</v>
      </c>
      <c r="H51" s="4" t="n">
        <v>0.00389073733793008</v>
      </c>
      <c r="I51" s="5" t="n">
        <f aca="false">G51/H51</f>
        <v>-0.581228448141928</v>
      </c>
      <c r="J51" s="4" t="n">
        <v>0.013920839969327</v>
      </c>
      <c r="K51" s="4" t="n">
        <v>0.00404699799977626</v>
      </c>
      <c r="L51" s="6" t="n">
        <v>4300</v>
      </c>
      <c r="M51" s="7" t="n">
        <v>31.244</v>
      </c>
      <c r="N51" s="0" t="str">
        <f aca="false">IF(G51&gt;2*H51,"yes","no")</f>
        <v>no</v>
      </c>
    </row>
    <row r="52" customFormat="false" ht="15" hidden="false" customHeight="false" outlineLevel="0" collapsed="false">
      <c r="A52" s="0" t="s">
        <v>27</v>
      </c>
      <c r="B52" s="0" t="s">
        <v>28</v>
      </c>
      <c r="C52" s="0" t="n">
        <v>36</v>
      </c>
      <c r="D52" s="0" t="n">
        <v>0.3</v>
      </c>
      <c r="E52" s="0" t="n">
        <v>50</v>
      </c>
      <c r="F52" s="0" t="s">
        <v>31</v>
      </c>
      <c r="G52" s="4" t="n">
        <v>0.00294597145553871</v>
      </c>
      <c r="H52" s="4" t="n">
        <v>0.00388721106525227</v>
      </c>
      <c r="I52" s="5" t="n">
        <f aca="false">G52/H52</f>
        <v>0.757862489606678</v>
      </c>
      <c r="J52" s="4" t="n">
        <v>0.00383006304873019</v>
      </c>
      <c r="K52" s="4" t="n">
        <v>0.00396727443229844</v>
      </c>
      <c r="L52" s="6" t="n">
        <v>1800</v>
      </c>
      <c r="M52" s="7" t="n">
        <v>131.044</v>
      </c>
      <c r="N52" s="0" t="str">
        <f aca="false">IF(G52&gt;2*H52,"yes","no")</f>
        <v>no</v>
      </c>
    </row>
    <row r="53" customFormat="false" ht="15" hidden="false" customHeight="false" outlineLevel="0" collapsed="false">
      <c r="A53" s="0" t="s">
        <v>27</v>
      </c>
      <c r="B53" s="0" t="s">
        <v>28</v>
      </c>
      <c r="C53" s="0" t="n">
        <v>36</v>
      </c>
      <c r="D53" s="0" t="n">
        <v>0.3</v>
      </c>
      <c r="E53" s="0" t="n">
        <v>100</v>
      </c>
      <c r="F53" s="0" t="s">
        <v>29</v>
      </c>
      <c r="G53" s="4" t="n">
        <v>0.00391932484623087</v>
      </c>
      <c r="H53" s="4" t="n">
        <v>0.00396101413945225</v>
      </c>
      <c r="I53" s="5" t="n">
        <f aca="false">G53/H53</f>
        <v>0.989475096085584</v>
      </c>
      <c r="J53" s="4" t="n">
        <v>0.0202722611821557</v>
      </c>
      <c r="K53" s="4" t="n">
        <v>0.00406459414828055</v>
      </c>
      <c r="L53" s="6" t="n">
        <v>3600</v>
      </c>
      <c r="M53" s="7" t="n">
        <v>26.244</v>
      </c>
      <c r="N53" s="0" t="str">
        <f aca="false">IF(G53&gt;2*H53,"yes","no")</f>
        <v>no</v>
      </c>
    </row>
    <row r="54" customFormat="false" ht="15" hidden="false" customHeight="false" outlineLevel="0" collapsed="false">
      <c r="A54" s="0" t="s">
        <v>27</v>
      </c>
      <c r="B54" s="0" t="s">
        <v>28</v>
      </c>
      <c r="C54" s="0" t="n">
        <v>36</v>
      </c>
      <c r="D54" s="0" t="n">
        <v>0.3</v>
      </c>
      <c r="E54" s="0" t="n">
        <v>100</v>
      </c>
      <c r="F54" s="0" t="s">
        <v>30</v>
      </c>
      <c r="G54" s="4" t="n">
        <v>0.00303759743237047</v>
      </c>
      <c r="H54" s="4" t="n">
        <v>0.0039050354759249</v>
      </c>
      <c r="I54" s="5" t="n">
        <f aca="false">G54/H54</f>
        <v>0.777866795602164</v>
      </c>
      <c r="J54" s="4" t="n">
        <v>-0.00455324936431908</v>
      </c>
      <c r="K54" s="4" t="n">
        <v>0.00389271899792795</v>
      </c>
      <c r="L54" s="6" t="n">
        <v>8600</v>
      </c>
      <c r="M54" s="7" t="n">
        <v>60.244</v>
      </c>
      <c r="N54" s="0" t="str">
        <f aca="false">IF(G54&gt;2*H54,"yes","no")</f>
        <v>no</v>
      </c>
    </row>
    <row r="55" customFormat="false" ht="15" hidden="false" customHeight="false" outlineLevel="0" collapsed="false">
      <c r="A55" s="0" t="s">
        <v>27</v>
      </c>
      <c r="B55" s="0" t="s">
        <v>28</v>
      </c>
      <c r="C55" s="0" t="n">
        <v>36</v>
      </c>
      <c r="D55" s="0" t="n">
        <v>0.3</v>
      </c>
      <c r="E55" s="0" t="n">
        <v>100</v>
      </c>
      <c r="F55" s="0" t="s">
        <v>31</v>
      </c>
      <c r="G55" s="4" t="n">
        <v>0.0023447329292005</v>
      </c>
      <c r="H55" s="4" t="n">
        <v>0.0039291679442803</v>
      </c>
      <c r="I55" s="5" t="n">
        <f aca="false">G55/H55</f>
        <v>0.596750498439176</v>
      </c>
      <c r="J55" s="4" t="n">
        <v>-0.00147197362223269</v>
      </c>
      <c r="K55" s="4" t="n">
        <v>0.00400316262695563</v>
      </c>
      <c r="L55" s="6" t="n">
        <v>3600</v>
      </c>
      <c r="M55" s="7" t="n">
        <v>259.844</v>
      </c>
      <c r="N55" s="0" t="str">
        <f aca="false">IF(G55&gt;2*H55,"yes","no")</f>
        <v>no</v>
      </c>
    </row>
    <row r="56" customFormat="false" ht="15" hidden="false" customHeight="false" outlineLevel="0" collapsed="false">
      <c r="A56" s="0" t="s">
        <v>27</v>
      </c>
      <c r="B56" s="0" t="s">
        <v>32</v>
      </c>
      <c r="C56" s="0" t="n">
        <v>40</v>
      </c>
      <c r="D56" s="0" t="n">
        <v>0</v>
      </c>
      <c r="E56" s="0" t="n">
        <v>24</v>
      </c>
      <c r="F56" s="0" t="s">
        <v>29</v>
      </c>
      <c r="G56" s="4" t="n">
        <v>0.172666511831953</v>
      </c>
      <c r="H56" s="4" t="n">
        <v>0.0056066520938925</v>
      </c>
      <c r="I56" s="5" t="n">
        <f aca="false">G56/H56</f>
        <v>30.7967230604595</v>
      </c>
      <c r="J56" s="4" t="n">
        <v>0.350261110519024</v>
      </c>
      <c r="K56" s="4" t="n">
        <v>0.00502107015545217</v>
      </c>
      <c r="L56" s="6" t="n">
        <v>960</v>
      </c>
      <c r="M56" s="7" t="n">
        <v>7.332</v>
      </c>
      <c r="N56" s="0" t="str">
        <f aca="false">IF(G56&gt;2*H56,"yes","no")</f>
        <v>yes</v>
      </c>
    </row>
    <row r="57" customFormat="false" ht="15" hidden="false" customHeight="false" outlineLevel="0" collapsed="false">
      <c r="A57" s="0" t="s">
        <v>27</v>
      </c>
      <c r="B57" s="0" t="s">
        <v>32</v>
      </c>
      <c r="C57" s="0" t="n">
        <v>40</v>
      </c>
      <c r="D57" s="0" t="n">
        <v>0</v>
      </c>
      <c r="E57" s="0" t="n">
        <v>24</v>
      </c>
      <c r="F57" s="0" t="s">
        <v>30</v>
      </c>
      <c r="G57" s="4" t="n">
        <v>0.0429128067504451</v>
      </c>
      <c r="H57" s="4" t="n">
        <v>0.00424044588239917</v>
      </c>
      <c r="I57" s="5" t="n">
        <f aca="false">G57/H57</f>
        <v>10.1198807721055</v>
      </c>
      <c r="J57" s="4" t="n">
        <v>0.0936317612576605</v>
      </c>
      <c r="K57" s="4" t="n">
        <v>0.00423165734882702</v>
      </c>
      <c r="L57" s="6" t="n">
        <v>2304</v>
      </c>
      <c r="M57" s="7" t="n">
        <v>14.82</v>
      </c>
      <c r="N57" s="0" t="str">
        <f aca="false">IF(G57&gt;2*H57,"yes","no")</f>
        <v>yes</v>
      </c>
    </row>
    <row r="58" customFormat="false" ht="15" hidden="false" customHeight="false" outlineLevel="0" collapsed="false">
      <c r="A58" s="0" t="s">
        <v>27</v>
      </c>
      <c r="B58" s="0" t="s">
        <v>32</v>
      </c>
      <c r="C58" s="0" t="n">
        <v>40</v>
      </c>
      <c r="D58" s="0" t="n">
        <v>0</v>
      </c>
      <c r="E58" s="0" t="n">
        <v>24</v>
      </c>
      <c r="F58" s="0" t="s">
        <v>31</v>
      </c>
      <c r="G58" s="4" t="n">
        <v>-0.00437789809082196</v>
      </c>
      <c r="H58" s="4" t="n">
        <v>0.00389260229935888</v>
      </c>
      <c r="I58" s="5" t="n">
        <f aca="false">G58/H58</f>
        <v>-1.12467130062144</v>
      </c>
      <c r="J58" s="4" t="n">
        <v>0.0673934056492321</v>
      </c>
      <c r="K58" s="4" t="n">
        <v>0.00389943319546327</v>
      </c>
      <c r="L58" s="6" t="n">
        <v>960</v>
      </c>
      <c r="M58" s="7" t="n">
        <v>70.308</v>
      </c>
      <c r="N58" s="0" t="str">
        <f aca="false">IF(G58&gt;2*H58,"yes","no")</f>
        <v>no</v>
      </c>
    </row>
    <row r="59" customFormat="false" ht="15" hidden="false" customHeight="false" outlineLevel="0" collapsed="false">
      <c r="A59" s="0" t="s">
        <v>27</v>
      </c>
      <c r="B59" s="0" t="s">
        <v>32</v>
      </c>
      <c r="C59" s="0" t="n">
        <v>40</v>
      </c>
      <c r="D59" s="0" t="n">
        <v>0</v>
      </c>
      <c r="E59" s="0" t="n">
        <v>50</v>
      </c>
      <c r="F59" s="0" t="s">
        <v>29</v>
      </c>
      <c r="G59" s="4" t="n">
        <v>-0.0207516002477803</v>
      </c>
      <c r="H59" s="4" t="n">
        <v>0.00434548798965785</v>
      </c>
      <c r="I59" s="5" t="n">
        <f aca="false">G59/H59</f>
        <v>-4.77543610686961</v>
      </c>
      <c r="J59" s="4" t="n">
        <v>0.128515125692373</v>
      </c>
      <c r="K59" s="4" t="n">
        <v>0.00392568089033125</v>
      </c>
      <c r="L59" s="6" t="n">
        <v>2000</v>
      </c>
      <c r="M59" s="7" t="n">
        <v>12.844</v>
      </c>
      <c r="N59" s="0" t="str">
        <f aca="false">IF(G59&gt;2*H59,"yes","no")</f>
        <v>no</v>
      </c>
    </row>
    <row r="60" customFormat="false" ht="15" hidden="false" customHeight="false" outlineLevel="0" collapsed="false">
      <c r="A60" s="0" t="s">
        <v>27</v>
      </c>
      <c r="B60" s="0" t="s">
        <v>32</v>
      </c>
      <c r="C60" s="0" t="n">
        <v>40</v>
      </c>
      <c r="D60" s="0" t="n">
        <v>0</v>
      </c>
      <c r="E60" s="0" t="n">
        <v>50</v>
      </c>
      <c r="F60" s="0" t="s">
        <v>30</v>
      </c>
      <c r="G60" s="4" t="n">
        <v>-0.0010590484062613</v>
      </c>
      <c r="H60" s="4" t="n">
        <v>0.0037659320051689</v>
      </c>
      <c r="I60" s="5" t="n">
        <f aca="false">G60/H60</f>
        <v>-0.281218143293005</v>
      </c>
      <c r="J60" s="4" t="n">
        <v>0.0147349313971491</v>
      </c>
      <c r="K60" s="4" t="n">
        <v>0.00378242589462166</v>
      </c>
      <c r="L60" s="6" t="n">
        <v>4800</v>
      </c>
      <c r="M60" s="7" t="n">
        <v>28.444</v>
      </c>
      <c r="N60" s="0" t="str">
        <f aca="false">IF(G60&gt;2*H60,"yes","no")</f>
        <v>no</v>
      </c>
    </row>
    <row r="61" customFormat="false" ht="15" hidden="false" customHeight="false" outlineLevel="0" collapsed="false">
      <c r="A61" s="0" t="s">
        <v>27</v>
      </c>
      <c r="B61" s="0" t="s">
        <v>32</v>
      </c>
      <c r="C61" s="0" t="n">
        <v>40</v>
      </c>
      <c r="D61" s="0" t="n">
        <v>0</v>
      </c>
      <c r="E61" s="0" t="n">
        <v>50</v>
      </c>
      <c r="F61" s="0" t="s">
        <v>31</v>
      </c>
      <c r="G61" s="4" t="n">
        <v>2.58404609938256E-005</v>
      </c>
      <c r="H61" s="4" t="n">
        <v>0.00368996394907152</v>
      </c>
      <c r="I61" s="5" t="n">
        <f aca="false">G61/H61</f>
        <v>0.00700290337533721</v>
      </c>
      <c r="J61" s="4" t="n">
        <v>0.017140111063648</v>
      </c>
      <c r="K61" s="4" t="n">
        <v>0.00374725861704572</v>
      </c>
      <c r="L61" s="6" t="n">
        <v>2000</v>
      </c>
      <c r="M61" s="7" t="n">
        <v>144.044</v>
      </c>
      <c r="N61" s="0" t="str">
        <f aca="false">IF(G61&gt;2*H61,"yes","no")</f>
        <v>no</v>
      </c>
    </row>
    <row r="62" customFormat="false" ht="15" hidden="false" customHeight="false" outlineLevel="0" collapsed="false">
      <c r="A62" s="0" t="s">
        <v>27</v>
      </c>
      <c r="B62" s="0" t="s">
        <v>32</v>
      </c>
      <c r="C62" s="0" t="n">
        <v>40</v>
      </c>
      <c r="D62" s="0" t="n">
        <v>0</v>
      </c>
      <c r="E62" s="0" t="n">
        <v>100</v>
      </c>
      <c r="F62" s="0" t="s">
        <v>29</v>
      </c>
      <c r="G62" s="4" t="n">
        <v>-0.00751685480329605</v>
      </c>
      <c r="H62" s="4" t="n">
        <v>0.00374475115514066</v>
      </c>
      <c r="I62" s="5" t="n">
        <f aca="false">G62/H62</f>
        <v>-2.00730422179781</v>
      </c>
      <c r="J62" s="4" t="n">
        <v>0.040290303644805</v>
      </c>
      <c r="K62" s="4" t="n">
        <v>0.00370590920524549</v>
      </c>
      <c r="L62" s="6" t="n">
        <v>4000</v>
      </c>
      <c r="M62" s="7" t="n">
        <v>23.444</v>
      </c>
      <c r="N62" s="0" t="str">
        <f aca="false">IF(G62&gt;2*H62,"yes","no")</f>
        <v>no</v>
      </c>
    </row>
    <row r="63" customFormat="false" ht="15" hidden="false" customHeight="false" outlineLevel="0" collapsed="false">
      <c r="A63" s="0" t="s">
        <v>27</v>
      </c>
      <c r="B63" s="0" t="s">
        <v>32</v>
      </c>
      <c r="C63" s="0" t="n">
        <v>40</v>
      </c>
      <c r="D63" s="0" t="n">
        <v>0</v>
      </c>
      <c r="E63" s="0" t="n">
        <v>100</v>
      </c>
      <c r="F63" s="0" t="s">
        <v>30</v>
      </c>
      <c r="G63" s="4" t="n">
        <v>0.00276728909119123</v>
      </c>
      <c r="H63" s="4" t="n">
        <v>0.00366784652796186</v>
      </c>
      <c r="I63" s="5" t="n">
        <f aca="false">G63/H63</f>
        <v>0.754472432282751</v>
      </c>
      <c r="J63" s="4" t="n">
        <v>0.00503131188781245</v>
      </c>
      <c r="K63" s="4" t="n">
        <v>0.00372684256683278</v>
      </c>
      <c r="L63" s="6" t="n">
        <v>9600</v>
      </c>
      <c r="M63" s="7" t="n">
        <v>54.644</v>
      </c>
      <c r="N63" s="0" t="str">
        <f aca="false">IF(G63&gt;2*H63,"yes","no")</f>
        <v>no</v>
      </c>
    </row>
    <row r="64" customFormat="false" ht="15" hidden="false" customHeight="false" outlineLevel="0" collapsed="false">
      <c r="A64" s="0" t="s">
        <v>27</v>
      </c>
      <c r="B64" s="0" t="s">
        <v>32</v>
      </c>
      <c r="C64" s="0" t="n">
        <v>40</v>
      </c>
      <c r="D64" s="0" t="n">
        <v>0</v>
      </c>
      <c r="E64" s="0" t="n">
        <v>100</v>
      </c>
      <c r="F64" s="0" t="s">
        <v>31</v>
      </c>
      <c r="G64" s="4" t="n">
        <v>0.00294634549777732</v>
      </c>
      <c r="H64" s="4" t="n">
        <v>0.00361667968548504</v>
      </c>
      <c r="I64" s="5" t="n">
        <f aca="false">G64/H64</f>
        <v>0.814654808829768</v>
      </c>
      <c r="J64" s="4" t="n">
        <v>0.00203045685279188</v>
      </c>
      <c r="K64" s="4" t="n">
        <v>0.00382634882887668</v>
      </c>
      <c r="L64" s="6" t="n">
        <v>4000</v>
      </c>
      <c r="M64" s="7" t="n">
        <v>285.844</v>
      </c>
      <c r="N64" s="0" t="str">
        <f aca="false">IF(G64&gt;2*H64,"yes","no")</f>
        <v>no</v>
      </c>
    </row>
    <row r="65" customFormat="false" ht="15" hidden="false" customHeight="false" outlineLevel="0" collapsed="false">
      <c r="A65" s="0" t="s">
        <v>27</v>
      </c>
      <c r="B65" s="0" t="s">
        <v>32</v>
      </c>
      <c r="C65" s="0" t="n">
        <v>40</v>
      </c>
      <c r="D65" s="0" t="n">
        <v>0.1</v>
      </c>
      <c r="E65" s="0" t="n">
        <v>24</v>
      </c>
      <c r="F65" s="0" t="s">
        <v>29</v>
      </c>
      <c r="G65" s="4" t="n">
        <v>0.205393281600454</v>
      </c>
      <c r="H65" s="4" t="n">
        <v>0.00543960339220986</v>
      </c>
      <c r="I65" s="5" t="n">
        <f aca="false">G65/H65</f>
        <v>37.7588707835944</v>
      </c>
      <c r="J65" s="4" t="n">
        <v>0.321367794086365</v>
      </c>
      <c r="K65" s="4" t="n">
        <v>0.00482824429088185</v>
      </c>
      <c r="L65" s="6" t="n">
        <v>960</v>
      </c>
      <c r="M65" s="7" t="n">
        <v>7.332</v>
      </c>
      <c r="N65" s="0" t="str">
        <f aca="false">IF(G65&gt;2*H65,"yes","no")</f>
        <v>yes</v>
      </c>
    </row>
    <row r="66" customFormat="false" ht="15" hidden="false" customHeight="false" outlineLevel="0" collapsed="false">
      <c r="A66" s="0" t="s">
        <v>27</v>
      </c>
      <c r="B66" s="0" t="s">
        <v>32</v>
      </c>
      <c r="C66" s="0" t="n">
        <v>40</v>
      </c>
      <c r="D66" s="0" t="n">
        <v>0.1</v>
      </c>
      <c r="E66" s="0" t="n">
        <v>24</v>
      </c>
      <c r="F66" s="0" t="s">
        <v>30</v>
      </c>
      <c r="G66" s="4" t="n">
        <v>0.0460468483375562</v>
      </c>
      <c r="H66" s="4" t="n">
        <v>0.00419474305928199</v>
      </c>
      <c r="I66" s="5" t="n">
        <f aca="false">G66/H66</f>
        <v>10.9772750527986</v>
      </c>
      <c r="J66" s="4" t="n">
        <v>0.0821031236628156</v>
      </c>
      <c r="K66" s="4" t="n">
        <v>0.00416594894679595</v>
      </c>
      <c r="L66" s="6" t="n">
        <v>2304</v>
      </c>
      <c r="M66" s="7" t="n">
        <v>14.82</v>
      </c>
      <c r="N66" s="0" t="str">
        <f aca="false">IF(G66&gt;2*H66,"yes","no")</f>
        <v>yes</v>
      </c>
    </row>
    <row r="67" customFormat="false" ht="15" hidden="false" customHeight="false" outlineLevel="0" collapsed="false">
      <c r="A67" s="0" t="s">
        <v>27</v>
      </c>
      <c r="B67" s="0" t="s">
        <v>32</v>
      </c>
      <c r="C67" s="0" t="n">
        <v>40</v>
      </c>
      <c r="D67" s="0" t="n">
        <v>0.1</v>
      </c>
      <c r="E67" s="0" t="n">
        <v>24</v>
      </c>
      <c r="F67" s="0" t="s">
        <v>31</v>
      </c>
      <c r="G67" s="4" t="n">
        <v>-0.00434625135820355</v>
      </c>
      <c r="H67" s="4" t="n">
        <v>0.00395248532490512</v>
      </c>
      <c r="I67" s="5" t="n">
        <f aca="false">G67/H67</f>
        <v>-1.0996249197479</v>
      </c>
      <c r="J67" s="4" t="n">
        <v>0.0698769395398609</v>
      </c>
      <c r="K67" s="4" t="n">
        <v>0.00392674566526257</v>
      </c>
      <c r="L67" s="6" t="n">
        <v>960</v>
      </c>
      <c r="M67" s="7" t="n">
        <v>70.308</v>
      </c>
      <c r="N67" s="0" t="str">
        <f aca="false">IF(G67&gt;2*H67,"yes","no")</f>
        <v>no</v>
      </c>
    </row>
    <row r="68" customFormat="false" ht="15" hidden="false" customHeight="false" outlineLevel="0" collapsed="false">
      <c r="A68" s="0" t="s">
        <v>27</v>
      </c>
      <c r="B68" s="0" t="s">
        <v>32</v>
      </c>
      <c r="C68" s="0" t="n">
        <v>40</v>
      </c>
      <c r="D68" s="0" t="n">
        <v>0.1</v>
      </c>
      <c r="E68" s="0" t="n">
        <v>50</v>
      </c>
      <c r="F68" s="0" t="s">
        <v>29</v>
      </c>
      <c r="G68" s="4" t="n">
        <v>0.000748425725198721</v>
      </c>
      <c r="H68" s="4" t="n">
        <v>0.00416548062948925</v>
      </c>
      <c r="I68" s="5" t="n">
        <f aca="false">G68/H68</f>
        <v>0.179673317864039</v>
      </c>
      <c r="J68" s="4" t="n">
        <v>0.0999680272833848</v>
      </c>
      <c r="K68" s="4" t="n">
        <v>0.00393509413457887</v>
      </c>
      <c r="L68" s="6" t="n">
        <v>2000</v>
      </c>
      <c r="M68" s="7" t="n">
        <v>12.844</v>
      </c>
      <c r="N68" s="0" t="str">
        <f aca="false">IF(G68&gt;2*H68,"yes","no")</f>
        <v>no</v>
      </c>
    </row>
    <row r="69" customFormat="false" ht="15" hidden="false" customHeight="false" outlineLevel="0" collapsed="false">
      <c r="A69" s="0" t="s">
        <v>27</v>
      </c>
      <c r="B69" s="0" t="s">
        <v>32</v>
      </c>
      <c r="C69" s="0" t="n">
        <v>40</v>
      </c>
      <c r="D69" s="0" t="n">
        <v>0.1</v>
      </c>
      <c r="E69" s="0" t="n">
        <v>50</v>
      </c>
      <c r="F69" s="0" t="s">
        <v>30</v>
      </c>
      <c r="G69" s="4" t="n">
        <v>-0.00031047062171742</v>
      </c>
      <c r="H69" s="4" t="n">
        <v>0.00353963044396053</v>
      </c>
      <c r="I69" s="5" t="n">
        <f aca="false">G69/H69</f>
        <v>-0.0877127221705188</v>
      </c>
      <c r="J69" s="4" t="n">
        <v>0.0135981583596552</v>
      </c>
      <c r="K69" s="4" t="n">
        <v>0.00385790673339148</v>
      </c>
      <c r="L69" s="6" t="n">
        <v>4800</v>
      </c>
      <c r="M69" s="7" t="n">
        <v>28.444</v>
      </c>
      <c r="N69" s="0" t="str">
        <f aca="false">IF(G69&gt;2*H69,"yes","no")</f>
        <v>no</v>
      </c>
    </row>
    <row r="70" customFormat="false" ht="15" hidden="false" customHeight="false" outlineLevel="0" collapsed="false">
      <c r="A70" s="0" t="s">
        <v>27</v>
      </c>
      <c r="B70" s="0" t="s">
        <v>32</v>
      </c>
      <c r="C70" s="0" t="n">
        <v>40</v>
      </c>
      <c r="D70" s="0" t="n">
        <v>0.1</v>
      </c>
      <c r="E70" s="0" t="n">
        <v>50</v>
      </c>
      <c r="F70" s="0" t="s">
        <v>31</v>
      </c>
      <c r="G70" s="4" t="n">
        <v>-0.00165610040108681</v>
      </c>
      <c r="H70" s="4" t="n">
        <v>0.00372770314741198</v>
      </c>
      <c r="I70" s="5" t="n">
        <f aca="false">G70/H70</f>
        <v>-0.44426831633216</v>
      </c>
      <c r="J70" s="4" t="n">
        <v>0.015152326390748</v>
      </c>
      <c r="K70" s="4" t="n">
        <v>0.00381140284099805</v>
      </c>
      <c r="L70" s="6" t="n">
        <v>2000</v>
      </c>
      <c r="M70" s="7" t="n">
        <v>144.044</v>
      </c>
      <c r="N70" s="0" t="str">
        <f aca="false">IF(G70&gt;2*H70,"yes","no")</f>
        <v>no</v>
      </c>
    </row>
    <row r="71" customFormat="false" ht="15" hidden="false" customHeight="false" outlineLevel="0" collapsed="false">
      <c r="A71" s="0" t="s">
        <v>27</v>
      </c>
      <c r="B71" s="0" t="s">
        <v>32</v>
      </c>
      <c r="C71" s="0" t="n">
        <v>40</v>
      </c>
      <c r="D71" s="0" t="n">
        <v>0.1</v>
      </c>
      <c r="E71" s="0" t="n">
        <v>100</v>
      </c>
      <c r="F71" s="0" t="s">
        <v>29</v>
      </c>
      <c r="G71" s="4" t="n">
        <v>-0.0014208581983518</v>
      </c>
      <c r="H71" s="4" t="n">
        <v>0.00375505035729915</v>
      </c>
      <c r="I71" s="5" t="n">
        <f aca="false">G71/H71</f>
        <v>-0.378385923797242</v>
      </c>
      <c r="J71" s="4" t="n">
        <v>0.0249799839871898</v>
      </c>
      <c r="K71" s="4" t="n">
        <v>0.00381770261988639</v>
      </c>
      <c r="L71" s="6" t="n">
        <v>4000</v>
      </c>
      <c r="M71" s="7" t="n">
        <v>23.444</v>
      </c>
      <c r="N71" s="0" t="str">
        <f aca="false">IF(G71&gt;2*H71,"yes","no")</f>
        <v>no</v>
      </c>
    </row>
    <row r="72" customFormat="false" ht="15" hidden="false" customHeight="false" outlineLevel="0" collapsed="false">
      <c r="A72" s="0" t="s">
        <v>27</v>
      </c>
      <c r="B72" s="0" t="s">
        <v>32</v>
      </c>
      <c r="C72" s="0" t="n">
        <v>40</v>
      </c>
      <c r="D72" s="0" t="n">
        <v>0.1</v>
      </c>
      <c r="E72" s="0" t="n">
        <v>100</v>
      </c>
      <c r="F72" s="0" t="s">
        <v>30</v>
      </c>
      <c r="G72" s="4" t="n">
        <v>0.000801302763202109</v>
      </c>
      <c r="H72" s="4" t="n">
        <v>0.00362988151629382</v>
      </c>
      <c r="I72" s="5" t="n">
        <f aca="false">G72/H72</f>
        <v>0.220751768234092</v>
      </c>
      <c r="J72" s="4" t="n">
        <v>0.000908750735018977</v>
      </c>
      <c r="K72" s="4" t="n">
        <v>0.00378396389859445</v>
      </c>
      <c r="L72" s="6" t="n">
        <v>9600</v>
      </c>
      <c r="M72" s="7" t="n">
        <v>54.644</v>
      </c>
      <c r="N72" s="0" t="str">
        <f aca="false">IF(G72&gt;2*H72,"yes","no")</f>
        <v>no</v>
      </c>
    </row>
    <row r="73" customFormat="false" ht="15" hidden="false" customHeight="false" outlineLevel="0" collapsed="false">
      <c r="A73" s="0" t="s">
        <v>27</v>
      </c>
      <c r="B73" s="0" t="s">
        <v>32</v>
      </c>
      <c r="C73" s="0" t="n">
        <v>40</v>
      </c>
      <c r="D73" s="0" t="n">
        <v>0.1</v>
      </c>
      <c r="E73" s="0" t="n">
        <v>100</v>
      </c>
      <c r="F73" s="0" t="s">
        <v>31</v>
      </c>
      <c r="G73" s="4" t="n">
        <v>0.00333660959081268</v>
      </c>
      <c r="H73" s="4" t="n">
        <v>0.00371256311308412</v>
      </c>
      <c r="I73" s="5" t="n">
        <f aca="false">G73/H73</f>
        <v>0.898734779498706</v>
      </c>
      <c r="J73" s="4" t="n">
        <v>0.00251484830649045</v>
      </c>
      <c r="K73" s="4" t="n">
        <v>0.003849062588687</v>
      </c>
      <c r="L73" s="6" t="n">
        <v>4000</v>
      </c>
      <c r="M73" s="7" t="n">
        <v>285.844</v>
      </c>
      <c r="N73" s="0" t="str">
        <f aca="false">IF(G73&gt;2*H73,"yes","no")</f>
        <v>no</v>
      </c>
    </row>
    <row r="74" customFormat="false" ht="15" hidden="false" customHeight="false" outlineLevel="0" collapsed="false">
      <c r="A74" s="0" t="s">
        <v>27</v>
      </c>
      <c r="B74" s="0" t="s">
        <v>32</v>
      </c>
      <c r="C74" s="0" t="n">
        <v>40</v>
      </c>
      <c r="D74" s="0" t="n">
        <v>0.3</v>
      </c>
      <c r="E74" s="0" t="n">
        <v>24</v>
      </c>
      <c r="F74" s="0" t="s">
        <v>29</v>
      </c>
      <c r="G74" s="4" t="n">
        <v>0.253256150506512</v>
      </c>
      <c r="H74" s="4" t="n">
        <v>0.0053479561326561</v>
      </c>
      <c r="I74" s="5" t="n">
        <f aca="false">G74/H74</f>
        <v>47.3556895801856</v>
      </c>
      <c r="J74" s="4" t="n">
        <v>0.290932393463634</v>
      </c>
      <c r="K74" s="4" t="n">
        <v>0.00492819369932016</v>
      </c>
      <c r="L74" s="6" t="n">
        <v>960</v>
      </c>
      <c r="M74" s="7" t="n">
        <v>7.332</v>
      </c>
      <c r="N74" s="0" t="str">
        <f aca="false">IF(G74&gt;2*H74,"yes","no")</f>
        <v>yes</v>
      </c>
    </row>
    <row r="75" customFormat="false" ht="15" hidden="false" customHeight="false" outlineLevel="0" collapsed="false">
      <c r="A75" s="0" t="s">
        <v>27</v>
      </c>
      <c r="B75" s="0" t="s">
        <v>32</v>
      </c>
      <c r="C75" s="0" t="n">
        <v>40</v>
      </c>
      <c r="D75" s="0" t="n">
        <v>0.3</v>
      </c>
      <c r="E75" s="0" t="n">
        <v>24</v>
      </c>
      <c r="F75" s="0" t="s">
        <v>30</v>
      </c>
      <c r="G75" s="4" t="n">
        <v>0.0493352265393055</v>
      </c>
      <c r="H75" s="4" t="n">
        <v>0.0041479525709721</v>
      </c>
      <c r="I75" s="5" t="n">
        <f aca="false">G75/H75</f>
        <v>11.893874313935</v>
      </c>
      <c r="J75" s="4" t="n">
        <v>0.0632695485315282</v>
      </c>
      <c r="K75" s="4" t="n">
        <v>0.00418441767723752</v>
      </c>
      <c r="L75" s="6" t="n">
        <v>2304</v>
      </c>
      <c r="M75" s="7" t="n">
        <v>14.82</v>
      </c>
      <c r="N75" s="0" t="str">
        <f aca="false">IF(G75&gt;2*H75,"yes","no")</f>
        <v>yes</v>
      </c>
    </row>
    <row r="76" customFormat="false" ht="15" hidden="false" customHeight="false" outlineLevel="0" collapsed="false">
      <c r="A76" s="0" t="s">
        <v>27</v>
      </c>
      <c r="B76" s="0" t="s">
        <v>32</v>
      </c>
      <c r="C76" s="0" t="n">
        <v>40</v>
      </c>
      <c r="D76" s="0" t="n">
        <v>0.3</v>
      </c>
      <c r="E76" s="0" t="n">
        <v>24</v>
      </c>
      <c r="F76" s="0" t="s">
        <v>31</v>
      </c>
      <c r="G76" s="4" t="n">
        <v>0.00760534961326539</v>
      </c>
      <c r="H76" s="4" t="n">
        <v>0.00395076792431618</v>
      </c>
      <c r="I76" s="5" t="n">
        <f aca="false">G76/H76</f>
        <v>1.92503071781463</v>
      </c>
      <c r="J76" s="4" t="n">
        <v>0.0457100037467216</v>
      </c>
      <c r="K76" s="4" t="n">
        <v>0.00391518338096869</v>
      </c>
      <c r="L76" s="6" t="n">
        <v>960</v>
      </c>
      <c r="M76" s="7" t="n">
        <v>70.308</v>
      </c>
      <c r="N76" s="0" t="str">
        <f aca="false">IF(G76&gt;2*H76,"yes","no")</f>
        <v>no</v>
      </c>
    </row>
    <row r="77" customFormat="false" ht="15" hidden="false" customHeight="false" outlineLevel="0" collapsed="false">
      <c r="A77" s="0" t="s">
        <v>27</v>
      </c>
      <c r="B77" s="0" t="s">
        <v>32</v>
      </c>
      <c r="C77" s="0" t="n">
        <v>40</v>
      </c>
      <c r="D77" s="0" t="n">
        <v>0.3</v>
      </c>
      <c r="E77" s="0" t="n">
        <v>50</v>
      </c>
      <c r="F77" s="0" t="s">
        <v>29</v>
      </c>
      <c r="G77" s="4" t="n">
        <v>0.00950216897335261</v>
      </c>
      <c r="H77" s="4" t="n">
        <v>0.00394517578188451</v>
      </c>
      <c r="I77" s="5" t="n">
        <f aca="false">G77/H77</f>
        <v>2.40855401601742</v>
      </c>
      <c r="J77" s="4" t="n">
        <v>0.04128</v>
      </c>
      <c r="K77" s="4" t="n">
        <v>0.00387788761033153</v>
      </c>
      <c r="L77" s="6" t="n">
        <v>2000</v>
      </c>
      <c r="M77" s="7" t="n">
        <v>12.844</v>
      </c>
      <c r="N77" s="0" t="str">
        <f aca="false">IF(G77&gt;2*H77,"yes","no")</f>
        <v>yes</v>
      </c>
    </row>
    <row r="78" customFormat="false" ht="15" hidden="false" customHeight="false" outlineLevel="0" collapsed="false">
      <c r="A78" s="0" t="s">
        <v>27</v>
      </c>
      <c r="B78" s="0" t="s">
        <v>32</v>
      </c>
      <c r="C78" s="0" t="n">
        <v>40</v>
      </c>
      <c r="D78" s="0" t="n">
        <v>0.3</v>
      </c>
      <c r="E78" s="0" t="n">
        <v>50</v>
      </c>
      <c r="F78" s="0" t="s">
        <v>30</v>
      </c>
      <c r="G78" s="4" t="n">
        <v>0.00333376405220313</v>
      </c>
      <c r="H78" s="4" t="n">
        <v>0.00370184278138922</v>
      </c>
      <c r="I78" s="5" t="n">
        <f aca="false">G78/H78</f>
        <v>0.900568784002232</v>
      </c>
      <c r="J78" s="4" t="n">
        <v>0.00389998931509777</v>
      </c>
      <c r="K78" s="4" t="n">
        <v>0.00372788380886811</v>
      </c>
      <c r="L78" s="6" t="n">
        <v>4800</v>
      </c>
      <c r="M78" s="7" t="n">
        <v>28.444</v>
      </c>
      <c r="N78" s="0" t="str">
        <f aca="false">IF(G78&gt;2*H78,"yes","no")</f>
        <v>no</v>
      </c>
    </row>
    <row r="79" customFormat="false" ht="15" hidden="false" customHeight="false" outlineLevel="0" collapsed="false">
      <c r="A79" s="0" t="s">
        <v>27</v>
      </c>
      <c r="B79" s="0" t="s">
        <v>32</v>
      </c>
      <c r="C79" s="0" t="n">
        <v>40</v>
      </c>
      <c r="D79" s="0" t="n">
        <v>0.3</v>
      </c>
      <c r="E79" s="0" t="n">
        <v>50</v>
      </c>
      <c r="F79" s="0" t="s">
        <v>31</v>
      </c>
      <c r="G79" s="4" t="n">
        <v>0.00287281950411512</v>
      </c>
      <c r="H79" s="4" t="n">
        <v>0.00364866521642309</v>
      </c>
      <c r="I79" s="5" t="n">
        <f aca="false">G79/H79</f>
        <v>0.787361770321983</v>
      </c>
      <c r="J79" s="4" t="n">
        <v>0.00686069571742509</v>
      </c>
      <c r="K79" s="4" t="n">
        <v>0.00405792218300193</v>
      </c>
      <c r="L79" s="6" t="n">
        <v>2000</v>
      </c>
      <c r="M79" s="7" t="n">
        <v>144.044</v>
      </c>
      <c r="N79" s="0" t="str">
        <f aca="false">IF(G79&gt;2*H79,"yes","no")</f>
        <v>no</v>
      </c>
    </row>
    <row r="80" customFormat="false" ht="15" hidden="false" customHeight="false" outlineLevel="0" collapsed="false">
      <c r="A80" s="0" t="s">
        <v>27</v>
      </c>
      <c r="B80" s="0" t="s">
        <v>32</v>
      </c>
      <c r="C80" s="0" t="n">
        <v>40</v>
      </c>
      <c r="D80" s="0" t="n">
        <v>0.3</v>
      </c>
      <c r="E80" s="0" t="n">
        <v>100</v>
      </c>
      <c r="F80" s="0" t="s">
        <v>29</v>
      </c>
      <c r="G80" s="4" t="n">
        <v>-0.000671799906981551</v>
      </c>
      <c r="H80" s="4" t="n">
        <v>0.00361389136709479</v>
      </c>
      <c r="I80" s="5" t="n">
        <f aca="false">G80/H80</f>
        <v>-0.185893774533021</v>
      </c>
      <c r="J80" s="4" t="n">
        <v>0.00966880341880342</v>
      </c>
      <c r="K80" s="4" t="n">
        <v>0.0036936192961761</v>
      </c>
      <c r="L80" s="6" t="n">
        <v>4000</v>
      </c>
      <c r="M80" s="7" t="n">
        <v>23.444</v>
      </c>
      <c r="N80" s="0" t="str">
        <f aca="false">IF(G80&gt;2*H80,"yes","no")</f>
        <v>no</v>
      </c>
    </row>
    <row r="81" customFormat="false" ht="15" hidden="false" customHeight="false" outlineLevel="0" collapsed="false">
      <c r="A81" s="0" t="s">
        <v>27</v>
      </c>
      <c r="B81" s="0" t="s">
        <v>32</v>
      </c>
      <c r="C81" s="0" t="n">
        <v>40</v>
      </c>
      <c r="D81" s="0" t="n">
        <v>0.3</v>
      </c>
      <c r="E81" s="0" t="n">
        <v>100</v>
      </c>
      <c r="F81" s="0" t="s">
        <v>30</v>
      </c>
      <c r="G81" s="4" t="n">
        <v>-0.00625791937110496</v>
      </c>
      <c r="H81" s="4" t="n">
        <v>0.00361287083810938</v>
      </c>
      <c r="I81" s="5" t="n">
        <f aca="false">G81/H81</f>
        <v>-1.73211821056403</v>
      </c>
      <c r="J81" s="4" t="n">
        <v>-0.00165881849315069</v>
      </c>
      <c r="K81" s="4" t="n">
        <v>0.00385706446325528</v>
      </c>
      <c r="L81" s="6" t="n">
        <v>9600</v>
      </c>
      <c r="M81" s="7" t="n">
        <v>54.644</v>
      </c>
      <c r="N81" s="0" t="str">
        <f aca="false">IF(G81&gt;2*H81,"yes","no")</f>
        <v>no</v>
      </c>
    </row>
    <row r="82" customFormat="false" ht="15" hidden="false" customHeight="false" outlineLevel="0" collapsed="false">
      <c r="A82" s="0" t="s">
        <v>27</v>
      </c>
      <c r="B82" s="0" t="s">
        <v>32</v>
      </c>
      <c r="C82" s="0" t="n">
        <v>40</v>
      </c>
      <c r="D82" s="0" t="n">
        <v>0.3</v>
      </c>
      <c r="E82" s="0" t="n">
        <v>100</v>
      </c>
      <c r="F82" s="0" t="s">
        <v>31</v>
      </c>
      <c r="G82" s="4" t="n">
        <v>-0.00147580457240504</v>
      </c>
      <c r="H82" s="4" t="n">
        <v>0.00357786412431816</v>
      </c>
      <c r="I82" s="5" t="n">
        <f aca="false">G82/H82</f>
        <v>-0.412482006338429</v>
      </c>
      <c r="J82" s="4" t="n">
        <v>0.00230563002680965</v>
      </c>
      <c r="K82" s="4" t="n">
        <v>0.00380219981158512</v>
      </c>
      <c r="L82" s="6" t="n">
        <v>4000</v>
      </c>
      <c r="M82" s="7" t="n">
        <v>285.844</v>
      </c>
      <c r="N82" s="0" t="str">
        <f aca="false">IF(G82&gt;2*H82,"yes","no")</f>
        <v>no</v>
      </c>
    </row>
    <row r="83" customFormat="false" ht="15" hidden="false" customHeight="false" outlineLevel="0" collapsed="false">
      <c r="A83" s="0" t="s">
        <v>27</v>
      </c>
      <c r="B83" s="0" t="s">
        <v>32</v>
      </c>
      <c r="C83" s="0" t="n">
        <v>72</v>
      </c>
      <c r="D83" s="0" t="n">
        <v>0</v>
      </c>
      <c r="E83" s="0" t="n">
        <v>24</v>
      </c>
      <c r="F83" s="0" t="s">
        <v>29</v>
      </c>
      <c r="G83" s="4" t="n">
        <v>0.20073362545138</v>
      </c>
      <c r="H83" s="4" t="n">
        <v>0.00423790718891167</v>
      </c>
      <c r="I83" s="5" t="n">
        <f aca="false">G83/H83</f>
        <v>47.3662155642747</v>
      </c>
      <c r="J83" s="4" t="n">
        <v>0.311684120977441</v>
      </c>
      <c r="K83" s="4" t="n">
        <v>0.0035372151320352</v>
      </c>
      <c r="L83" s="6" t="n">
        <v>1728</v>
      </c>
      <c r="M83" s="7" t="n">
        <v>7.332</v>
      </c>
      <c r="N83" s="0" t="str">
        <f aca="false">IF(G83&gt;2*H83,"yes","no")</f>
        <v>yes</v>
      </c>
    </row>
    <row r="84" customFormat="false" ht="15" hidden="false" customHeight="false" outlineLevel="0" collapsed="false">
      <c r="A84" s="0" t="s">
        <v>27</v>
      </c>
      <c r="B84" s="0" t="s">
        <v>32</v>
      </c>
      <c r="C84" s="0" t="n">
        <v>72</v>
      </c>
      <c r="D84" s="0" t="n">
        <v>0</v>
      </c>
      <c r="E84" s="0" t="n">
        <v>24</v>
      </c>
      <c r="F84" s="0" t="s">
        <v>30</v>
      </c>
      <c r="G84" s="4" t="n">
        <v>0.010852956716695</v>
      </c>
      <c r="H84" s="4" t="n">
        <v>0.00287387616933105</v>
      </c>
      <c r="I84" s="5" t="n">
        <f aca="false">G84/H84</f>
        <v>3.77641765936674</v>
      </c>
      <c r="J84" s="4" t="n">
        <v>0.0645814977973568</v>
      </c>
      <c r="K84" s="4" t="n">
        <v>0.00283914528310664</v>
      </c>
      <c r="L84" s="6" t="n">
        <v>4224</v>
      </c>
      <c r="M84" s="7" t="n">
        <v>15.108</v>
      </c>
      <c r="N84" s="0" t="str">
        <f aca="false">IF(G84&gt;2*H84,"yes","no")</f>
        <v>yes</v>
      </c>
    </row>
    <row r="85" customFormat="false" ht="15" hidden="false" customHeight="false" outlineLevel="0" collapsed="false">
      <c r="A85" s="0" t="s">
        <v>27</v>
      </c>
      <c r="B85" s="0" t="s">
        <v>32</v>
      </c>
      <c r="C85" s="0" t="n">
        <v>72</v>
      </c>
      <c r="D85" s="0" t="n">
        <v>0</v>
      </c>
      <c r="E85" s="0" t="n">
        <v>24</v>
      </c>
      <c r="F85" s="0" t="s">
        <v>31</v>
      </c>
      <c r="G85" s="4" t="n">
        <v>0.00037169938097757</v>
      </c>
      <c r="H85" s="4" t="n">
        <v>0.00280468857813869</v>
      </c>
      <c r="I85" s="5" t="n">
        <f aca="false">G85/H85</f>
        <v>0.132527862050283</v>
      </c>
      <c r="J85" s="4" t="n">
        <v>0.0326310833872771</v>
      </c>
      <c r="K85" s="4" t="n">
        <v>0.00288084751930412</v>
      </c>
      <c r="L85" s="6" t="n">
        <v>1728</v>
      </c>
      <c r="M85" s="7" t="n">
        <v>122.532</v>
      </c>
      <c r="N85" s="0" t="str">
        <f aca="false">IF(G85&gt;2*H85,"yes","no")</f>
        <v>no</v>
      </c>
    </row>
    <row r="86" customFormat="false" ht="15" hidden="false" customHeight="false" outlineLevel="0" collapsed="false">
      <c r="A86" s="0" t="s">
        <v>27</v>
      </c>
      <c r="B86" s="0" t="s">
        <v>32</v>
      </c>
      <c r="C86" s="0" t="n">
        <v>72</v>
      </c>
      <c r="D86" s="0" t="n">
        <v>0</v>
      </c>
      <c r="E86" s="0" t="n">
        <v>50</v>
      </c>
      <c r="F86" s="0" t="s">
        <v>29</v>
      </c>
      <c r="G86" s="4" t="n">
        <v>0.000642379946325587</v>
      </c>
      <c r="H86" s="4" t="n">
        <v>0.00314458520348167</v>
      </c>
      <c r="I86" s="5" t="n">
        <f aca="false">G86/H86</f>
        <v>0.204281297773184</v>
      </c>
      <c r="J86" s="4" t="n">
        <v>0.115682591853504</v>
      </c>
      <c r="K86" s="4" t="n">
        <v>0.00291198716516056</v>
      </c>
      <c r="L86" s="6" t="n">
        <v>3600</v>
      </c>
      <c r="M86" s="7" t="n">
        <v>12.844</v>
      </c>
      <c r="N86" s="0" t="str">
        <f aca="false">IF(G86&gt;2*H86,"yes","no")</f>
        <v>no</v>
      </c>
    </row>
    <row r="87" customFormat="false" ht="15" hidden="false" customHeight="false" outlineLevel="0" collapsed="false">
      <c r="A87" s="0" t="s">
        <v>27</v>
      </c>
      <c r="B87" s="0" t="s">
        <v>32</v>
      </c>
      <c r="C87" s="0" t="n">
        <v>72</v>
      </c>
      <c r="D87" s="0" t="n">
        <v>0</v>
      </c>
      <c r="E87" s="0" t="n">
        <v>50</v>
      </c>
      <c r="F87" s="0" t="s">
        <v>30</v>
      </c>
      <c r="G87" s="4" t="n">
        <v>0.00174338015690422</v>
      </c>
      <c r="H87" s="4" t="n">
        <v>0.00271770973965268</v>
      </c>
      <c r="I87" s="5" t="n">
        <f aca="false">G87/H87</f>
        <v>0.641488725402668</v>
      </c>
      <c r="J87" s="4" t="n">
        <v>0.000470491369423942</v>
      </c>
      <c r="K87" s="4" t="n">
        <v>0.00285233667924383</v>
      </c>
      <c r="L87" s="6" t="n">
        <v>8800</v>
      </c>
      <c r="M87" s="7" t="n">
        <v>29.044</v>
      </c>
      <c r="N87" s="0" t="str">
        <f aca="false">IF(G87&gt;2*H87,"yes","no")</f>
        <v>no</v>
      </c>
    </row>
    <row r="88" customFormat="false" ht="15" hidden="false" customHeight="false" outlineLevel="0" collapsed="false">
      <c r="A88" s="0" t="s">
        <v>27</v>
      </c>
      <c r="B88" s="0" t="s">
        <v>32</v>
      </c>
      <c r="C88" s="0" t="n">
        <v>72</v>
      </c>
      <c r="D88" s="0" t="n">
        <v>0</v>
      </c>
      <c r="E88" s="0" t="n">
        <v>50</v>
      </c>
      <c r="F88" s="0" t="s">
        <v>31</v>
      </c>
      <c r="G88" s="4" t="n">
        <v>-0.00181794758012568</v>
      </c>
      <c r="H88" s="4" t="n">
        <v>0.0027817739988335</v>
      </c>
      <c r="I88" s="5" t="n">
        <f aca="false">G88/H88</f>
        <v>-0.653520947743423</v>
      </c>
      <c r="J88" s="4" t="n">
        <v>0.00318640467339352</v>
      </c>
      <c r="K88" s="4" t="n">
        <v>0.0028368866246991</v>
      </c>
      <c r="L88" s="6" t="n">
        <v>3600</v>
      </c>
      <c r="M88" s="7" t="n">
        <v>252.844</v>
      </c>
      <c r="N88" s="0" t="str">
        <f aca="false">IF(G88&gt;2*H88,"yes","no")</f>
        <v>no</v>
      </c>
    </row>
    <row r="89" customFormat="false" ht="15" hidden="false" customHeight="false" outlineLevel="0" collapsed="false">
      <c r="A89" s="0" t="s">
        <v>27</v>
      </c>
      <c r="B89" s="0" t="s">
        <v>32</v>
      </c>
      <c r="C89" s="0" t="n">
        <v>72</v>
      </c>
      <c r="D89" s="0" t="n">
        <v>0</v>
      </c>
      <c r="E89" s="0" t="n">
        <v>100</v>
      </c>
      <c r="F89" s="0" t="s">
        <v>29</v>
      </c>
      <c r="G89" s="4" t="n">
        <v>0.000171325775962994</v>
      </c>
      <c r="H89" s="4" t="n">
        <v>0.00279898702389034</v>
      </c>
      <c r="I89" s="5" t="n">
        <f aca="false">G89/H89</f>
        <v>0.0612099214825463</v>
      </c>
      <c r="J89" s="4" t="n">
        <v>0.029593094944513</v>
      </c>
      <c r="K89" s="4" t="n">
        <v>0.00277312081370275</v>
      </c>
      <c r="L89" s="6" t="n">
        <v>7200</v>
      </c>
      <c r="M89" s="7" t="n">
        <v>23.444</v>
      </c>
      <c r="N89" s="0" t="str">
        <f aca="false">IF(G89&gt;2*H89,"yes","no")</f>
        <v>no</v>
      </c>
    </row>
    <row r="90" customFormat="false" ht="15" hidden="false" customHeight="false" outlineLevel="0" collapsed="false">
      <c r="A90" s="0" t="s">
        <v>27</v>
      </c>
      <c r="B90" s="0" t="s">
        <v>32</v>
      </c>
      <c r="C90" s="0" t="n">
        <v>72</v>
      </c>
      <c r="D90" s="0" t="n">
        <v>0</v>
      </c>
      <c r="E90" s="0" t="n">
        <v>100</v>
      </c>
      <c r="F90" s="0" t="s">
        <v>30</v>
      </c>
      <c r="G90" s="4" t="n">
        <v>0.00111607142857143</v>
      </c>
      <c r="H90" s="4" t="n">
        <v>0.00274115138089303</v>
      </c>
      <c r="I90" s="5" t="n">
        <f aca="false">G90/H90</f>
        <v>0.407154247791972</v>
      </c>
      <c r="J90" s="4" t="n">
        <v>0.00775513814761301</v>
      </c>
      <c r="K90" s="4" t="n">
        <v>0.00279729891671267</v>
      </c>
      <c r="L90" s="6" t="n">
        <v>17600</v>
      </c>
      <c r="M90" s="7" t="n">
        <v>55.844</v>
      </c>
      <c r="N90" s="0" t="str">
        <f aca="false">IF(G90&gt;2*H90,"yes","no")</f>
        <v>no</v>
      </c>
    </row>
    <row r="91" customFormat="false" ht="15" hidden="false" customHeight="false" outlineLevel="0" collapsed="false">
      <c r="A91" s="0" t="s">
        <v>27</v>
      </c>
      <c r="B91" s="0" t="s">
        <v>32</v>
      </c>
      <c r="C91" s="0" t="n">
        <v>72</v>
      </c>
      <c r="D91" s="0" t="n">
        <v>0</v>
      </c>
      <c r="E91" s="0" t="n">
        <v>100</v>
      </c>
      <c r="F91" s="0" t="s">
        <v>31</v>
      </c>
      <c r="G91" s="4" t="n">
        <v>-0.00325993708893337</v>
      </c>
      <c r="H91" s="4" t="n">
        <v>0.00266802453693869</v>
      </c>
      <c r="I91" s="5" t="n">
        <f aca="false">G91/H91</f>
        <v>-1.2218542385198</v>
      </c>
      <c r="J91" s="4" t="n">
        <v>0.00385600329673564</v>
      </c>
      <c r="K91" s="4" t="n">
        <v>0.00290422445737729</v>
      </c>
      <c r="L91" s="6" t="n">
        <v>7200</v>
      </c>
      <c r="M91" s="7" t="n">
        <v>503.444</v>
      </c>
      <c r="N91" s="0" t="str">
        <f aca="false">IF(G91&gt;2*H91,"yes","no")</f>
        <v>no</v>
      </c>
    </row>
    <row r="92" customFormat="false" ht="15" hidden="false" customHeight="false" outlineLevel="0" collapsed="false">
      <c r="A92" s="0" t="s">
        <v>27</v>
      </c>
      <c r="B92" s="0" t="s">
        <v>32</v>
      </c>
      <c r="C92" s="0" t="n">
        <v>72</v>
      </c>
      <c r="D92" s="0" t="n">
        <v>0.1</v>
      </c>
      <c r="E92" s="0" t="n">
        <v>24</v>
      </c>
      <c r="F92" s="0" t="s">
        <v>29</v>
      </c>
      <c r="G92" s="4" t="n">
        <v>0.211193166397646</v>
      </c>
      <c r="H92" s="4" t="n">
        <v>0.00411015936152508</v>
      </c>
      <c r="I92" s="5" t="n">
        <f aca="false">G92/H92</f>
        <v>51.3832062996415</v>
      </c>
      <c r="J92" s="4" t="n">
        <v>0.292429272305297</v>
      </c>
      <c r="K92" s="4" t="n">
        <v>0.00365839605285636</v>
      </c>
      <c r="L92" s="6" t="n">
        <v>1728</v>
      </c>
      <c r="M92" s="7" t="n">
        <v>7.332</v>
      </c>
      <c r="N92" s="0" t="str">
        <f aca="false">IF(G92&gt;2*H92,"yes","no")</f>
        <v>yes</v>
      </c>
    </row>
    <row r="93" customFormat="false" ht="15" hidden="false" customHeight="false" outlineLevel="0" collapsed="false">
      <c r="A93" s="0" t="s">
        <v>27</v>
      </c>
      <c r="B93" s="0" t="s">
        <v>32</v>
      </c>
      <c r="C93" s="0" t="n">
        <v>72</v>
      </c>
      <c r="D93" s="0" t="n">
        <v>0.1</v>
      </c>
      <c r="E93" s="0" t="n">
        <v>24</v>
      </c>
      <c r="F93" s="0" t="s">
        <v>30</v>
      </c>
      <c r="G93" s="4" t="n">
        <v>0.018138227277268</v>
      </c>
      <c r="H93" s="4" t="n">
        <v>0.00289442281159212</v>
      </c>
      <c r="I93" s="5" t="n">
        <f aca="false">G93/H93</f>
        <v>6.26661288206569</v>
      </c>
      <c r="J93" s="4" t="n">
        <v>0.0617026892284231</v>
      </c>
      <c r="K93" s="4" t="n">
        <v>0.00293875776377247</v>
      </c>
      <c r="L93" s="6" t="n">
        <v>4224</v>
      </c>
      <c r="M93" s="7" t="n">
        <v>15.108</v>
      </c>
      <c r="N93" s="0" t="str">
        <f aca="false">IF(G93&gt;2*H93,"yes","no")</f>
        <v>yes</v>
      </c>
    </row>
    <row r="94" customFormat="false" ht="15" hidden="false" customHeight="false" outlineLevel="0" collapsed="false">
      <c r="A94" s="0" t="s">
        <v>27</v>
      </c>
      <c r="B94" s="0" t="s">
        <v>32</v>
      </c>
      <c r="C94" s="0" t="n">
        <v>72</v>
      </c>
      <c r="D94" s="0" t="n">
        <v>0.1</v>
      </c>
      <c r="E94" s="0" t="n">
        <v>24</v>
      </c>
      <c r="F94" s="0" t="s">
        <v>31</v>
      </c>
      <c r="G94" s="4" t="n">
        <v>-1.43086080586073E-005</v>
      </c>
      <c r="H94" s="4" t="n">
        <v>0.00277327540246541</v>
      </c>
      <c r="I94" s="5" t="n">
        <f aca="false">G94/H94</f>
        <v>-0.00515946164087674</v>
      </c>
      <c r="J94" s="4" t="n">
        <v>0.0349097770963557</v>
      </c>
      <c r="K94" s="4" t="n">
        <v>0.00276588384790501</v>
      </c>
      <c r="L94" s="6" t="n">
        <v>1728</v>
      </c>
      <c r="M94" s="7" t="n">
        <v>122.532</v>
      </c>
      <c r="N94" s="0" t="str">
        <f aca="false">IF(G94&gt;2*H94,"yes","no")</f>
        <v>no</v>
      </c>
    </row>
    <row r="95" customFormat="false" ht="15" hidden="false" customHeight="false" outlineLevel="0" collapsed="false">
      <c r="A95" s="0" t="s">
        <v>27</v>
      </c>
      <c r="B95" s="0" t="s">
        <v>32</v>
      </c>
      <c r="C95" s="0" t="n">
        <v>72</v>
      </c>
      <c r="D95" s="0" t="n">
        <v>0.1</v>
      </c>
      <c r="E95" s="0" t="n">
        <v>50</v>
      </c>
      <c r="F95" s="0" t="s">
        <v>29</v>
      </c>
      <c r="G95" s="4" t="n">
        <v>0.01018295034205</v>
      </c>
      <c r="H95" s="4" t="n">
        <v>0.00297092379665244</v>
      </c>
      <c r="I95" s="5" t="n">
        <f aca="false">G95/H95</f>
        <v>3.42753669869415</v>
      </c>
      <c r="J95" s="4" t="n">
        <v>0.0966898698857462</v>
      </c>
      <c r="K95" s="4" t="n">
        <v>0.00291718954546876</v>
      </c>
      <c r="L95" s="6" t="n">
        <v>3600</v>
      </c>
      <c r="M95" s="7" t="n">
        <v>12.844</v>
      </c>
      <c r="N95" s="0" t="str">
        <f aca="false">IF(G95&gt;2*H95,"yes","no")</f>
        <v>yes</v>
      </c>
    </row>
    <row r="96" customFormat="false" ht="15" hidden="false" customHeight="false" outlineLevel="0" collapsed="false">
      <c r="A96" s="0" t="s">
        <v>27</v>
      </c>
      <c r="B96" s="0" t="s">
        <v>32</v>
      </c>
      <c r="C96" s="0" t="n">
        <v>72</v>
      </c>
      <c r="D96" s="0" t="n">
        <v>0.1</v>
      </c>
      <c r="E96" s="0" t="n">
        <v>50</v>
      </c>
      <c r="F96" s="0" t="s">
        <v>30</v>
      </c>
      <c r="G96" s="4" t="n">
        <v>0.000343141460066913</v>
      </c>
      <c r="H96" s="4" t="n">
        <v>0.00270731398350574</v>
      </c>
      <c r="I96" s="5" t="n">
        <f aca="false">G96/H96</f>
        <v>0.126746089355537</v>
      </c>
      <c r="J96" s="4" t="n">
        <v>0.00223693892568065</v>
      </c>
      <c r="K96" s="4" t="n">
        <v>0.00277734001424698</v>
      </c>
      <c r="L96" s="6" t="n">
        <v>8800</v>
      </c>
      <c r="M96" s="7" t="n">
        <v>29.044</v>
      </c>
      <c r="N96" s="0" t="str">
        <f aca="false">IF(G96&gt;2*H96,"yes","no")</f>
        <v>no</v>
      </c>
    </row>
    <row r="97" customFormat="false" ht="15" hidden="false" customHeight="false" outlineLevel="0" collapsed="false">
      <c r="A97" s="0" t="s">
        <v>27</v>
      </c>
      <c r="B97" s="0" t="s">
        <v>32</v>
      </c>
      <c r="C97" s="0" t="n">
        <v>72</v>
      </c>
      <c r="D97" s="0" t="n">
        <v>0.1</v>
      </c>
      <c r="E97" s="0" t="n">
        <v>50</v>
      </c>
      <c r="F97" s="0" t="s">
        <v>31</v>
      </c>
      <c r="G97" s="4" t="n">
        <v>-0.000743165025510568</v>
      </c>
      <c r="H97" s="4" t="n">
        <v>0.00272384341416577</v>
      </c>
      <c r="I97" s="5" t="n">
        <f aca="false">G97/H97</f>
        <v>-0.272836911859773</v>
      </c>
      <c r="J97" s="4" t="n">
        <v>0.00455828726032232</v>
      </c>
      <c r="K97" s="4" t="n">
        <v>0.00281591150100093</v>
      </c>
      <c r="L97" s="6" t="n">
        <v>3600</v>
      </c>
      <c r="M97" s="7" t="n">
        <v>252.844</v>
      </c>
      <c r="N97" s="0" t="str">
        <f aca="false">IF(G97&gt;2*H97,"yes","no")</f>
        <v>no</v>
      </c>
    </row>
    <row r="98" customFormat="false" ht="15" hidden="false" customHeight="false" outlineLevel="0" collapsed="false">
      <c r="A98" s="0" t="s">
        <v>27</v>
      </c>
      <c r="B98" s="0" t="s">
        <v>32</v>
      </c>
      <c r="C98" s="0" t="n">
        <v>72</v>
      </c>
      <c r="D98" s="0" t="n">
        <v>0.1</v>
      </c>
      <c r="E98" s="0" t="n">
        <v>100</v>
      </c>
      <c r="F98" s="0" t="s">
        <v>29</v>
      </c>
      <c r="G98" s="4" t="n">
        <v>0.00435484101260762</v>
      </c>
      <c r="H98" s="4" t="n">
        <v>0.00275093412481213</v>
      </c>
      <c r="I98" s="5" t="n">
        <f aca="false">G98/H98</f>
        <v>1.5830408199633</v>
      </c>
      <c r="J98" s="4" t="n">
        <v>0.0198168046503435</v>
      </c>
      <c r="K98" s="4" t="n">
        <v>0.00278154707785356</v>
      </c>
      <c r="L98" s="6" t="n">
        <v>7200</v>
      </c>
      <c r="M98" s="7" t="n">
        <v>23.444</v>
      </c>
      <c r="N98" s="0" t="str">
        <f aca="false">IF(G98&gt;2*H98,"yes","no")</f>
        <v>no</v>
      </c>
    </row>
    <row r="99" customFormat="false" ht="15" hidden="false" customHeight="false" outlineLevel="0" collapsed="false">
      <c r="A99" s="0" t="s">
        <v>27</v>
      </c>
      <c r="B99" s="0" t="s">
        <v>32</v>
      </c>
      <c r="C99" s="0" t="n">
        <v>72</v>
      </c>
      <c r="D99" s="0" t="n">
        <v>0.1</v>
      </c>
      <c r="E99" s="0" t="n">
        <v>100</v>
      </c>
      <c r="F99" s="0" t="s">
        <v>30</v>
      </c>
      <c r="G99" s="4" t="n">
        <v>-0.000700640585678335</v>
      </c>
      <c r="H99" s="4" t="n">
        <v>0.00271392054494568</v>
      </c>
      <c r="I99" s="5" t="n">
        <f aca="false">G99/H99</f>
        <v>-0.258165474661071</v>
      </c>
      <c r="J99" s="4" t="n">
        <v>-0.000441592086669807</v>
      </c>
      <c r="K99" s="4" t="n">
        <v>0.00278056589970167</v>
      </c>
      <c r="L99" s="6" t="n">
        <v>17600</v>
      </c>
      <c r="M99" s="7" t="n">
        <v>55.844</v>
      </c>
      <c r="N99" s="0" t="str">
        <f aca="false">IF(G99&gt;2*H99,"yes","no")</f>
        <v>no</v>
      </c>
    </row>
    <row r="100" customFormat="false" ht="15" hidden="false" customHeight="false" outlineLevel="0" collapsed="false">
      <c r="A100" s="0" t="s">
        <v>27</v>
      </c>
      <c r="B100" s="0" t="s">
        <v>32</v>
      </c>
      <c r="C100" s="0" t="n">
        <v>72</v>
      </c>
      <c r="D100" s="0" t="n">
        <v>0.1</v>
      </c>
      <c r="E100" s="0" t="n">
        <v>100</v>
      </c>
      <c r="F100" s="0" t="s">
        <v>31</v>
      </c>
      <c r="G100" s="4" t="n">
        <v>-0.0018729804695319</v>
      </c>
      <c r="H100" s="4" t="n">
        <v>0.00268478191968004</v>
      </c>
      <c r="I100" s="5" t="n">
        <f aca="false">G100/H100</f>
        <v>-0.697628532061594</v>
      </c>
      <c r="J100" s="4" t="n">
        <v>0.00194289078598764</v>
      </c>
      <c r="K100" s="4" t="n">
        <v>0.00285981825696032</v>
      </c>
      <c r="L100" s="6" t="n">
        <v>7200</v>
      </c>
      <c r="M100" s="7" t="n">
        <v>503.444</v>
      </c>
      <c r="N100" s="0" t="str">
        <f aca="false">IF(G100&gt;2*H100,"yes","no")</f>
        <v>no</v>
      </c>
    </row>
    <row r="101" customFormat="false" ht="15" hidden="false" customHeight="false" outlineLevel="0" collapsed="false">
      <c r="A101" s="0" t="s">
        <v>27</v>
      </c>
      <c r="B101" s="0" t="s">
        <v>32</v>
      </c>
      <c r="C101" s="0" t="n">
        <v>72</v>
      </c>
      <c r="D101" s="0" t="n">
        <v>0.3</v>
      </c>
      <c r="E101" s="0" t="n">
        <v>24</v>
      </c>
      <c r="F101" s="0" t="s">
        <v>29</v>
      </c>
      <c r="G101" s="4" t="n">
        <v>0.23082841754296</v>
      </c>
      <c r="H101" s="4" t="n">
        <v>0.00388479621621565</v>
      </c>
      <c r="I101" s="5" t="n">
        <f aca="false">G101/H101</f>
        <v>59.418410824087</v>
      </c>
      <c r="J101" s="4" t="n">
        <v>0.266218389124397</v>
      </c>
      <c r="K101" s="4" t="n">
        <v>0.00369972599541292</v>
      </c>
      <c r="L101" s="6" t="n">
        <v>1728</v>
      </c>
      <c r="M101" s="7" t="n">
        <v>7.332</v>
      </c>
      <c r="N101" s="0" t="str">
        <f aca="false">IF(G101&gt;2*H101,"yes","no")</f>
        <v>yes</v>
      </c>
    </row>
    <row r="102" customFormat="false" ht="15" hidden="false" customHeight="false" outlineLevel="0" collapsed="false">
      <c r="A102" s="0" t="s">
        <v>27</v>
      </c>
      <c r="B102" s="0" t="s">
        <v>32</v>
      </c>
      <c r="C102" s="0" t="n">
        <v>72</v>
      </c>
      <c r="D102" s="0" t="n">
        <v>0.3</v>
      </c>
      <c r="E102" s="0" t="n">
        <v>24</v>
      </c>
      <c r="F102" s="0" t="s">
        <v>30</v>
      </c>
      <c r="G102" s="4" t="n">
        <v>0.0205483364272455</v>
      </c>
      <c r="H102" s="4" t="n">
        <v>0.00291868933440377</v>
      </c>
      <c r="I102" s="5" t="n">
        <f aca="false">G102/H102</f>
        <v>7.0402615944883</v>
      </c>
      <c r="J102" s="4" t="n">
        <v>0.0460657662947739</v>
      </c>
      <c r="K102" s="4" t="n">
        <v>0.00279677359429059</v>
      </c>
      <c r="L102" s="6" t="n">
        <v>4224</v>
      </c>
      <c r="M102" s="7" t="n">
        <v>15.108</v>
      </c>
      <c r="N102" s="0" t="str">
        <f aca="false">IF(G102&gt;2*H102,"yes","no")</f>
        <v>yes</v>
      </c>
    </row>
    <row r="103" customFormat="false" ht="15" hidden="false" customHeight="false" outlineLevel="0" collapsed="false">
      <c r="A103" s="0" t="s">
        <v>27</v>
      </c>
      <c r="B103" s="0" t="s">
        <v>32</v>
      </c>
      <c r="C103" s="0" t="n">
        <v>72</v>
      </c>
      <c r="D103" s="0" t="n">
        <v>0.3</v>
      </c>
      <c r="E103" s="0" t="n">
        <v>24</v>
      </c>
      <c r="F103" s="0" t="s">
        <v>31</v>
      </c>
      <c r="G103" s="4" t="n">
        <v>8.58541052571315E-005</v>
      </c>
      <c r="H103" s="4" t="n">
        <v>0.0027678243002662</v>
      </c>
      <c r="I103" s="5" t="n">
        <f aca="false">G103/H103</f>
        <v>0.0310186254412444</v>
      </c>
      <c r="J103" s="4" t="n">
        <v>0.0252593727894365</v>
      </c>
      <c r="K103" s="4" t="n">
        <v>0.00281622715173955</v>
      </c>
      <c r="L103" s="6" t="n">
        <v>1728</v>
      </c>
      <c r="M103" s="7" t="n">
        <v>122.532</v>
      </c>
      <c r="N103" s="0" t="str">
        <f aca="false">IF(G103&gt;2*H103,"yes","no")</f>
        <v>no</v>
      </c>
    </row>
    <row r="104" customFormat="false" ht="15" hidden="false" customHeight="false" outlineLevel="0" collapsed="false">
      <c r="A104" s="0" t="s">
        <v>27</v>
      </c>
      <c r="B104" s="0" t="s">
        <v>32</v>
      </c>
      <c r="C104" s="0" t="n">
        <v>72</v>
      </c>
      <c r="D104" s="0" t="n">
        <v>0.3</v>
      </c>
      <c r="E104" s="0" t="n">
        <v>50</v>
      </c>
      <c r="F104" s="0" t="s">
        <v>29</v>
      </c>
      <c r="G104" s="4" t="n">
        <v>0.00432295159150248</v>
      </c>
      <c r="H104" s="4" t="n">
        <v>0.00290023310630989</v>
      </c>
      <c r="I104" s="5" t="n">
        <f aca="false">G104/H104</f>
        <v>1.49055314970967</v>
      </c>
      <c r="J104" s="4" t="n">
        <v>0.0489785151097693</v>
      </c>
      <c r="K104" s="4" t="n">
        <v>0.00291242539019346</v>
      </c>
      <c r="L104" s="6" t="n">
        <v>3600</v>
      </c>
      <c r="M104" s="7" t="n">
        <v>12.844</v>
      </c>
      <c r="N104" s="0" t="str">
        <f aca="false">IF(G104&gt;2*H104,"yes","no")</f>
        <v>no</v>
      </c>
    </row>
    <row r="105" customFormat="false" ht="15" hidden="false" customHeight="false" outlineLevel="0" collapsed="false">
      <c r="A105" s="0" t="s">
        <v>27</v>
      </c>
      <c r="B105" s="0" t="s">
        <v>32</v>
      </c>
      <c r="C105" s="0" t="n">
        <v>72</v>
      </c>
      <c r="D105" s="0" t="n">
        <v>0.3</v>
      </c>
      <c r="E105" s="0" t="n">
        <v>50</v>
      </c>
      <c r="F105" s="0" t="s">
        <v>30</v>
      </c>
      <c r="G105" s="4" t="n">
        <v>0.00149843734391278</v>
      </c>
      <c r="H105" s="4" t="n">
        <v>0.00273533243338789</v>
      </c>
      <c r="I105" s="5" t="n">
        <f aca="false">G105/H105</f>
        <v>0.547808129506535</v>
      </c>
      <c r="J105" s="4" t="n">
        <v>-0.000791765637371338</v>
      </c>
      <c r="K105" s="4" t="n">
        <v>0.00272856635170873</v>
      </c>
      <c r="L105" s="6" t="n">
        <v>8800</v>
      </c>
      <c r="M105" s="7" t="n">
        <v>29.044</v>
      </c>
      <c r="N105" s="0" t="str">
        <f aca="false">IF(G105&gt;2*H105,"yes","no")</f>
        <v>no</v>
      </c>
    </row>
    <row r="106" customFormat="false" ht="15" hidden="false" customHeight="false" outlineLevel="0" collapsed="false">
      <c r="A106" s="0" t="s">
        <v>27</v>
      </c>
      <c r="B106" s="0" t="s">
        <v>32</v>
      </c>
      <c r="C106" s="0" t="n">
        <v>72</v>
      </c>
      <c r="D106" s="0" t="n">
        <v>0.3</v>
      </c>
      <c r="E106" s="0" t="n">
        <v>50</v>
      </c>
      <c r="F106" s="0" t="s">
        <v>31</v>
      </c>
      <c r="G106" s="4" t="n">
        <v>0.000486994385241206</v>
      </c>
      <c r="H106" s="4" t="n">
        <v>0.00276846367297258</v>
      </c>
      <c r="I106" s="5" t="n">
        <f aca="false">G106/H106</f>
        <v>0.175907811251251</v>
      </c>
      <c r="J106" s="4" t="n">
        <v>0.00230407940212094</v>
      </c>
      <c r="K106" s="4" t="n">
        <v>0.00286926389415489</v>
      </c>
      <c r="L106" s="6" t="n">
        <v>3600</v>
      </c>
      <c r="M106" s="7" t="n">
        <v>252.844</v>
      </c>
      <c r="N106" s="0" t="str">
        <f aca="false">IF(G106&gt;2*H106,"yes","no")</f>
        <v>no</v>
      </c>
    </row>
    <row r="107" customFormat="false" ht="15" hidden="false" customHeight="false" outlineLevel="0" collapsed="false">
      <c r="A107" s="0" t="s">
        <v>27</v>
      </c>
      <c r="B107" s="0" t="s">
        <v>32</v>
      </c>
      <c r="C107" s="0" t="n">
        <v>72</v>
      </c>
      <c r="D107" s="0" t="n">
        <v>0.3</v>
      </c>
      <c r="E107" s="0" t="n">
        <v>100</v>
      </c>
      <c r="F107" s="0" t="s">
        <v>29</v>
      </c>
      <c r="G107" s="4" t="n">
        <v>-0.00295351425391662</v>
      </c>
      <c r="H107" s="4" t="n">
        <v>0.00272254557513864</v>
      </c>
      <c r="I107" s="5" t="n">
        <f aca="false">G107/H107</f>
        <v>-1.08483556010489</v>
      </c>
      <c r="J107" s="4" t="n">
        <v>0.0028135166026787</v>
      </c>
      <c r="K107" s="4" t="n">
        <v>0.00276778237326839</v>
      </c>
      <c r="L107" s="6" t="n">
        <v>7200</v>
      </c>
      <c r="M107" s="7" t="n">
        <v>23.444</v>
      </c>
      <c r="N107" s="0" t="str">
        <f aca="false">IF(G107&gt;2*H107,"yes","no")</f>
        <v>no</v>
      </c>
    </row>
    <row r="108" customFormat="false" ht="15" hidden="false" customHeight="false" outlineLevel="0" collapsed="false">
      <c r="A108" s="0" t="s">
        <v>27</v>
      </c>
      <c r="B108" s="0" t="s">
        <v>32</v>
      </c>
      <c r="C108" s="0" t="n">
        <v>72</v>
      </c>
      <c r="D108" s="0" t="n">
        <v>0.3</v>
      </c>
      <c r="E108" s="0" t="n">
        <v>100</v>
      </c>
      <c r="F108" s="0" t="s">
        <v>30</v>
      </c>
      <c r="G108" s="4" t="n">
        <v>-0.00034317580610567</v>
      </c>
      <c r="H108" s="4" t="n">
        <v>0.00274218427923841</v>
      </c>
      <c r="I108" s="5" t="n">
        <f aca="false">G108/H108</f>
        <v>-0.125146879698756</v>
      </c>
      <c r="J108" s="4" t="n">
        <v>0.000853292532219149</v>
      </c>
      <c r="K108" s="4" t="n">
        <v>0.00278744713536429</v>
      </c>
      <c r="L108" s="6" t="n">
        <v>17600</v>
      </c>
      <c r="M108" s="7" t="n">
        <v>55.844</v>
      </c>
      <c r="N108" s="0" t="str">
        <f aca="false">IF(G108&gt;2*H108,"yes","no")</f>
        <v>no</v>
      </c>
    </row>
    <row r="109" customFormat="false" ht="15" hidden="false" customHeight="false" outlineLevel="0" collapsed="false">
      <c r="A109" s="0" t="s">
        <v>27</v>
      </c>
      <c r="B109" s="0" t="s">
        <v>32</v>
      </c>
      <c r="C109" s="0" t="n">
        <v>72</v>
      </c>
      <c r="D109" s="0" t="n">
        <v>0.3</v>
      </c>
      <c r="E109" s="0" t="n">
        <v>100</v>
      </c>
      <c r="F109" s="0" t="s">
        <v>31</v>
      </c>
      <c r="G109" s="4" t="n">
        <v>0.00287598906837986</v>
      </c>
      <c r="H109" s="4" t="n">
        <v>0.00270577136548404</v>
      </c>
      <c r="I109" s="5" t="n">
        <f aca="false">G109/H109</f>
        <v>1.06290912272455</v>
      </c>
      <c r="J109" s="4" t="n">
        <v>0</v>
      </c>
      <c r="K109" s="4" t="n">
        <v>0.00272571653930097</v>
      </c>
      <c r="L109" s="6" t="n">
        <v>7200</v>
      </c>
      <c r="M109" s="7" t="n">
        <v>503.444</v>
      </c>
      <c r="N109" s="0" t="str">
        <f aca="false">IF(G109&gt;2*H109,"yes","no")</f>
        <v>no</v>
      </c>
    </row>
    <row r="110" customFormat="false" ht="15" hidden="false" customHeight="false" outlineLevel="0" collapsed="false">
      <c r="A110" s="0" t="s">
        <v>33</v>
      </c>
      <c r="B110" s="0" t="s">
        <v>28</v>
      </c>
      <c r="C110" s="0" t="n">
        <v>20</v>
      </c>
      <c r="D110" s="0" t="n">
        <v>0</v>
      </c>
      <c r="E110" s="0" t="n">
        <v>24</v>
      </c>
      <c r="F110" s="0" t="s">
        <v>29</v>
      </c>
      <c r="G110" s="4" t="n">
        <v>0.202292473568513</v>
      </c>
      <c r="H110" s="4" t="n">
        <v>0.00933843266798175</v>
      </c>
      <c r="I110" s="5" t="n">
        <f aca="false">G110/H110</f>
        <v>21.6623582094352</v>
      </c>
      <c r="J110" s="4" t="n">
        <v>0.285526459953983</v>
      </c>
      <c r="K110" s="4" t="n">
        <v>0.00812112653365611</v>
      </c>
      <c r="L110" s="6" t="n">
        <v>480</v>
      </c>
      <c r="M110" s="7" t="n">
        <v>8.132</v>
      </c>
      <c r="N110" s="0" t="str">
        <f aca="false">IF(G110&gt;2*H110,"yes","no")</f>
        <v>yes</v>
      </c>
    </row>
    <row r="111" customFormat="false" ht="15" hidden="false" customHeight="false" outlineLevel="0" collapsed="false">
      <c r="A111" s="0" t="s">
        <v>33</v>
      </c>
      <c r="B111" s="0" t="s">
        <v>28</v>
      </c>
      <c r="C111" s="0" t="n">
        <v>20</v>
      </c>
      <c r="D111" s="0" t="n">
        <v>0</v>
      </c>
      <c r="E111" s="0" t="n">
        <v>24</v>
      </c>
      <c r="F111" s="0" t="s">
        <v>30</v>
      </c>
      <c r="G111" s="4" t="n">
        <v>0.0207688676771385</v>
      </c>
      <c r="H111" s="4" t="n">
        <v>0.00618237181965726</v>
      </c>
      <c r="I111" s="5" t="n">
        <f aca="false">G111/H111</f>
        <v>3.3593689093727</v>
      </c>
      <c r="J111" s="4" t="n">
        <v>0.0902686041391458</v>
      </c>
      <c r="K111" s="4" t="n">
        <v>0.00598595268349032</v>
      </c>
      <c r="L111" s="6" t="n">
        <v>1104</v>
      </c>
      <c r="M111" s="7" t="n">
        <v>16.388</v>
      </c>
      <c r="N111" s="0" t="str">
        <f aca="false">IF(G111&gt;2*H111,"yes","no")</f>
        <v>yes</v>
      </c>
    </row>
    <row r="112" customFormat="false" ht="15" hidden="false" customHeight="false" outlineLevel="0" collapsed="false">
      <c r="A112" s="0" t="s">
        <v>33</v>
      </c>
      <c r="B112" s="0" t="s">
        <v>28</v>
      </c>
      <c r="C112" s="0" t="n">
        <v>20</v>
      </c>
      <c r="D112" s="0" t="n">
        <v>0</v>
      </c>
      <c r="E112" s="0" t="n">
        <v>24</v>
      </c>
      <c r="F112" s="0" t="s">
        <v>31</v>
      </c>
      <c r="G112" s="4" t="n">
        <v>0.0271228875443355</v>
      </c>
      <c r="H112" s="4" t="n">
        <v>0.00620893652701899</v>
      </c>
      <c r="I112" s="5" t="n">
        <f aca="false">G112/H112</f>
        <v>4.36836283094645</v>
      </c>
      <c r="J112" s="4" t="n">
        <v>0.11801850843767</v>
      </c>
      <c r="K112" s="4" t="n">
        <v>0.00591504927759779</v>
      </c>
      <c r="L112" s="6" t="n">
        <v>480</v>
      </c>
      <c r="M112" s="7" t="n">
        <v>38.276</v>
      </c>
      <c r="N112" s="0" t="str">
        <f aca="false">IF(G112&gt;2*H112,"yes","no")</f>
        <v>yes</v>
      </c>
    </row>
    <row r="113" customFormat="false" ht="15" hidden="false" customHeight="false" outlineLevel="0" collapsed="false">
      <c r="A113" s="0" t="s">
        <v>33</v>
      </c>
      <c r="B113" s="0" t="s">
        <v>28</v>
      </c>
      <c r="C113" s="0" t="n">
        <v>20</v>
      </c>
      <c r="D113" s="0" t="n">
        <v>0</v>
      </c>
      <c r="E113" s="0" t="n">
        <v>50</v>
      </c>
      <c r="F113" s="0" t="s">
        <v>29</v>
      </c>
      <c r="G113" s="4" t="n">
        <v>0.0258801341156748</v>
      </c>
      <c r="H113" s="4" t="n">
        <v>0.00698187968350048</v>
      </c>
      <c r="I113" s="5" t="n">
        <f aca="false">G113/H113</f>
        <v>3.70675739039653</v>
      </c>
      <c r="J113" s="4" t="n">
        <v>0.147985508837414</v>
      </c>
      <c r="K113" s="4" t="n">
        <v>0.00627438141064712</v>
      </c>
      <c r="L113" s="6" t="n">
        <v>1000</v>
      </c>
      <c r="M113" s="7" t="n">
        <v>13.956</v>
      </c>
      <c r="N113" s="0" t="str">
        <f aca="false">IF(G113&gt;2*H113,"yes","no")</f>
        <v>yes</v>
      </c>
    </row>
    <row r="114" customFormat="false" ht="15" hidden="false" customHeight="false" outlineLevel="0" collapsed="false">
      <c r="A114" s="0" t="s">
        <v>33</v>
      </c>
      <c r="B114" s="0" t="s">
        <v>28</v>
      </c>
      <c r="C114" s="0" t="n">
        <v>20</v>
      </c>
      <c r="D114" s="0" t="n">
        <v>0</v>
      </c>
      <c r="E114" s="0" t="n">
        <v>50</v>
      </c>
      <c r="F114" s="0" t="s">
        <v>30</v>
      </c>
      <c r="G114" s="4" t="n">
        <v>-0.00615994988515348</v>
      </c>
      <c r="H114" s="4" t="n">
        <v>0.0053258088833311</v>
      </c>
      <c r="I114" s="5" t="n">
        <f aca="false">G114/H114</f>
        <v>-1.1566224061162</v>
      </c>
      <c r="J114" s="4" t="n">
        <v>0.0136284343654601</v>
      </c>
      <c r="K114" s="4" t="n">
        <v>0.00553991411095715</v>
      </c>
      <c r="L114" s="6" t="n">
        <v>2300</v>
      </c>
      <c r="M114" s="7" t="n">
        <v>31.156</v>
      </c>
      <c r="N114" s="0" t="str">
        <f aca="false">IF(G114&gt;2*H114,"yes","no")</f>
        <v>no</v>
      </c>
    </row>
    <row r="115" customFormat="false" ht="15" hidden="false" customHeight="false" outlineLevel="0" collapsed="false">
      <c r="A115" s="0" t="s">
        <v>33</v>
      </c>
      <c r="B115" s="0" t="s">
        <v>28</v>
      </c>
      <c r="C115" s="0" t="n">
        <v>20</v>
      </c>
      <c r="D115" s="0" t="n">
        <v>0</v>
      </c>
      <c r="E115" s="0" t="n">
        <v>50</v>
      </c>
      <c r="F115" s="0" t="s">
        <v>31</v>
      </c>
      <c r="G115" s="4" t="n">
        <v>-0.0051948051948052</v>
      </c>
      <c r="H115" s="4" t="n">
        <v>0.00522638597000345</v>
      </c>
      <c r="I115" s="5" t="n">
        <f aca="false">G115/H115</f>
        <v>-0.993957435333037</v>
      </c>
      <c r="J115" s="4" t="n">
        <v>0.0237324703344121</v>
      </c>
      <c r="K115" s="4" t="n">
        <v>0.00542938102236696</v>
      </c>
      <c r="L115" s="6" t="n">
        <v>1000</v>
      </c>
      <c r="M115" s="7" t="n">
        <v>76.756</v>
      </c>
      <c r="N115" s="0" t="str">
        <f aca="false">IF(G115&gt;2*H115,"yes","no")</f>
        <v>no</v>
      </c>
    </row>
    <row r="116" customFormat="false" ht="15" hidden="false" customHeight="false" outlineLevel="0" collapsed="false">
      <c r="A116" s="0" t="s">
        <v>33</v>
      </c>
      <c r="B116" s="0" t="s">
        <v>28</v>
      </c>
      <c r="C116" s="0" t="n">
        <v>20</v>
      </c>
      <c r="D116" s="0" t="n">
        <v>0</v>
      </c>
      <c r="E116" s="0" t="n">
        <v>100</v>
      </c>
      <c r="F116" s="0" t="s">
        <v>29</v>
      </c>
      <c r="G116" s="4" t="n">
        <v>0.00229885057471264</v>
      </c>
      <c r="H116" s="4" t="n">
        <v>0.00557988463062883</v>
      </c>
      <c r="I116" s="5" t="n">
        <f aca="false">G116/H116</f>
        <v>0.411988907816105</v>
      </c>
      <c r="J116" s="4" t="n">
        <v>0.049110553312234</v>
      </c>
      <c r="K116" s="4" t="n">
        <v>0.00566810969676411</v>
      </c>
      <c r="L116" s="6" t="n">
        <v>2000</v>
      </c>
      <c r="M116" s="7" t="n">
        <v>25.156</v>
      </c>
      <c r="N116" s="0" t="str">
        <f aca="false">IF(G116&gt;2*H116,"yes","no")</f>
        <v>no</v>
      </c>
    </row>
    <row r="117" customFormat="false" ht="15" hidden="false" customHeight="false" outlineLevel="0" collapsed="false">
      <c r="A117" s="0" t="s">
        <v>33</v>
      </c>
      <c r="B117" s="0" t="s">
        <v>28</v>
      </c>
      <c r="C117" s="0" t="n">
        <v>20</v>
      </c>
      <c r="D117" s="0" t="n">
        <v>0</v>
      </c>
      <c r="E117" s="0" t="n">
        <v>100</v>
      </c>
      <c r="F117" s="0" t="s">
        <v>30</v>
      </c>
      <c r="G117" s="4" t="n">
        <v>-0.00800963249921475</v>
      </c>
      <c r="H117" s="4" t="n">
        <v>0.0052766875153931</v>
      </c>
      <c r="I117" s="5" t="n">
        <f aca="false">G117/H117</f>
        <v>-1.51792814637007</v>
      </c>
      <c r="J117" s="4" t="n">
        <v>-0.00197303518579415</v>
      </c>
      <c r="K117" s="4" t="n">
        <v>0.00544009288067051</v>
      </c>
      <c r="L117" s="6" t="n">
        <v>4600</v>
      </c>
      <c r="M117" s="7" t="n">
        <v>59.556</v>
      </c>
      <c r="N117" s="0" t="str">
        <f aca="false">IF(G117&gt;2*H117,"yes","no")</f>
        <v>no</v>
      </c>
    </row>
    <row r="118" customFormat="false" ht="15" hidden="false" customHeight="false" outlineLevel="0" collapsed="false">
      <c r="A118" s="0" t="s">
        <v>33</v>
      </c>
      <c r="B118" s="0" t="s">
        <v>28</v>
      </c>
      <c r="C118" s="0" t="n">
        <v>20</v>
      </c>
      <c r="D118" s="0" t="n">
        <v>0</v>
      </c>
      <c r="E118" s="0" t="n">
        <v>100</v>
      </c>
      <c r="F118" s="0" t="s">
        <v>31</v>
      </c>
      <c r="G118" s="4" t="n">
        <v>-0.000207889402837691</v>
      </c>
      <c r="H118" s="4" t="n">
        <v>0.00513805060185755</v>
      </c>
      <c r="I118" s="5" t="n">
        <f aca="false">G118/H118</f>
        <v>-0.0404607542717725</v>
      </c>
      <c r="J118" s="4" t="n">
        <v>0.00724089484491516</v>
      </c>
      <c r="K118" s="4" t="n">
        <v>0.00535091482508589</v>
      </c>
      <c r="L118" s="6" t="n">
        <v>2000</v>
      </c>
      <c r="M118" s="7" t="n">
        <v>150.756</v>
      </c>
      <c r="N118" s="0" t="str">
        <f aca="false">IF(G118&gt;2*H118,"yes","no")</f>
        <v>no</v>
      </c>
    </row>
    <row r="119" customFormat="false" ht="15" hidden="false" customHeight="false" outlineLevel="0" collapsed="false">
      <c r="A119" s="0" t="s">
        <v>33</v>
      </c>
      <c r="B119" s="0" t="s">
        <v>28</v>
      </c>
      <c r="C119" s="0" t="n">
        <v>20</v>
      </c>
      <c r="D119" s="0" t="n">
        <v>0.1</v>
      </c>
      <c r="E119" s="0" t="n">
        <v>24</v>
      </c>
      <c r="F119" s="0" t="s">
        <v>29</v>
      </c>
      <c r="G119" s="4" t="n">
        <v>0.204721119699185</v>
      </c>
      <c r="H119" s="4" t="n">
        <v>0.00901502895600082</v>
      </c>
      <c r="I119" s="5" t="n">
        <f aca="false">G119/H119</f>
        <v>22.7088698991825</v>
      </c>
      <c r="J119" s="4" t="n">
        <v>0.287366353916649</v>
      </c>
      <c r="K119" s="4" t="n">
        <v>0.0078327461290005</v>
      </c>
      <c r="L119" s="6" t="n">
        <v>480</v>
      </c>
      <c r="M119" s="7" t="n">
        <v>8.132</v>
      </c>
      <c r="N119" s="0" t="str">
        <f aca="false">IF(G119&gt;2*H119,"yes","no")</f>
        <v>yes</v>
      </c>
    </row>
    <row r="120" customFormat="false" ht="15" hidden="false" customHeight="false" outlineLevel="0" collapsed="false">
      <c r="A120" s="0" t="s">
        <v>33</v>
      </c>
      <c r="B120" s="0" t="s">
        <v>28</v>
      </c>
      <c r="C120" s="0" t="n">
        <v>20</v>
      </c>
      <c r="D120" s="0" t="n">
        <v>0.1</v>
      </c>
      <c r="E120" s="0" t="n">
        <v>24</v>
      </c>
      <c r="F120" s="0" t="s">
        <v>30</v>
      </c>
      <c r="G120" s="4" t="n">
        <v>0.0264644351464435</v>
      </c>
      <c r="H120" s="4" t="n">
        <v>0.00584875737400019</v>
      </c>
      <c r="I120" s="5" t="n">
        <f aca="false">G120/H120</f>
        <v>4.52479620099944</v>
      </c>
      <c r="J120" s="4" t="n">
        <v>0.0689277899343545</v>
      </c>
      <c r="K120" s="4" t="n">
        <v>0.00583791973892768</v>
      </c>
      <c r="L120" s="6" t="n">
        <v>1104</v>
      </c>
      <c r="M120" s="7" t="n">
        <v>16.388</v>
      </c>
      <c r="N120" s="0" t="str">
        <f aca="false">IF(G120&gt;2*H120,"yes","no")</f>
        <v>yes</v>
      </c>
    </row>
    <row r="121" customFormat="false" ht="15" hidden="false" customHeight="false" outlineLevel="0" collapsed="false">
      <c r="A121" s="0" t="s">
        <v>33</v>
      </c>
      <c r="B121" s="0" t="s">
        <v>28</v>
      </c>
      <c r="C121" s="0" t="n">
        <v>20</v>
      </c>
      <c r="D121" s="0" t="n">
        <v>0.1</v>
      </c>
      <c r="E121" s="0" t="n">
        <v>24</v>
      </c>
      <c r="F121" s="0" t="s">
        <v>31</v>
      </c>
      <c r="G121" s="4" t="n">
        <v>0.0250182045147197</v>
      </c>
      <c r="H121" s="4" t="n">
        <v>0.00629900503666902</v>
      </c>
      <c r="I121" s="5" t="n">
        <f aca="false">G121/H121</f>
        <v>3.97177083826393</v>
      </c>
      <c r="J121" s="4" t="n">
        <v>0.115114140430596</v>
      </c>
      <c r="K121" s="4" t="n">
        <v>0.0059543041649557</v>
      </c>
      <c r="L121" s="6" t="n">
        <v>480</v>
      </c>
      <c r="M121" s="7" t="n">
        <v>38.276</v>
      </c>
      <c r="N121" s="0" t="str">
        <f aca="false">IF(G121&gt;2*H121,"yes","no")</f>
        <v>yes</v>
      </c>
    </row>
    <row r="122" customFormat="false" ht="15" hidden="false" customHeight="false" outlineLevel="0" collapsed="false">
      <c r="A122" s="0" t="s">
        <v>33</v>
      </c>
      <c r="B122" s="0" t="s">
        <v>28</v>
      </c>
      <c r="C122" s="0" t="n">
        <v>20</v>
      </c>
      <c r="D122" s="0" t="n">
        <v>0.1</v>
      </c>
      <c r="E122" s="0" t="n">
        <v>50</v>
      </c>
      <c r="F122" s="0" t="s">
        <v>29</v>
      </c>
      <c r="G122" s="4" t="n">
        <v>0.0247185126996596</v>
      </c>
      <c r="H122" s="4" t="n">
        <v>0.00671537240155798</v>
      </c>
      <c r="I122" s="5" t="n">
        <f aca="false">G122/H122</f>
        <v>3.68088487451937</v>
      </c>
      <c r="J122" s="4" t="n">
        <v>0.127426252878605</v>
      </c>
      <c r="K122" s="4" t="n">
        <v>0.00607617095742537</v>
      </c>
      <c r="L122" s="6" t="n">
        <v>1000</v>
      </c>
      <c r="M122" s="7" t="n">
        <v>13.956</v>
      </c>
      <c r="N122" s="0" t="str">
        <f aca="false">IF(G122&gt;2*H122,"yes","no")</f>
        <v>yes</v>
      </c>
    </row>
    <row r="123" customFormat="false" ht="15" hidden="false" customHeight="false" outlineLevel="0" collapsed="false">
      <c r="A123" s="0" t="s">
        <v>33</v>
      </c>
      <c r="B123" s="0" t="s">
        <v>28</v>
      </c>
      <c r="C123" s="0" t="n">
        <v>20</v>
      </c>
      <c r="D123" s="0" t="n">
        <v>0.1</v>
      </c>
      <c r="E123" s="0" t="n">
        <v>50</v>
      </c>
      <c r="F123" s="0" t="s">
        <v>30</v>
      </c>
      <c r="G123" s="4" t="n">
        <v>-0.00371805613741098</v>
      </c>
      <c r="H123" s="4" t="n">
        <v>0.0054852780398623</v>
      </c>
      <c r="I123" s="5" t="n">
        <f aca="false">G123/H123</f>
        <v>-0.677824553357429</v>
      </c>
      <c r="J123" s="4" t="n">
        <v>0.00657894736842105</v>
      </c>
      <c r="K123" s="4" t="n">
        <v>0.00553160788860109</v>
      </c>
      <c r="L123" s="6" t="n">
        <v>2300</v>
      </c>
      <c r="M123" s="7" t="n">
        <v>31.156</v>
      </c>
      <c r="N123" s="0" t="str">
        <f aca="false">IF(G123&gt;2*H123,"yes","no")</f>
        <v>no</v>
      </c>
    </row>
    <row r="124" customFormat="false" ht="15" hidden="false" customHeight="false" outlineLevel="0" collapsed="false">
      <c r="A124" s="0" t="s">
        <v>33</v>
      </c>
      <c r="B124" s="0" t="s">
        <v>28</v>
      </c>
      <c r="C124" s="0" t="n">
        <v>20</v>
      </c>
      <c r="D124" s="0" t="n">
        <v>0.1</v>
      </c>
      <c r="E124" s="0" t="n">
        <v>50</v>
      </c>
      <c r="F124" s="0" t="s">
        <v>31</v>
      </c>
      <c r="G124" s="4" t="n">
        <v>0.00441948733946862</v>
      </c>
      <c r="H124" s="4" t="n">
        <v>0.00548932461881179</v>
      </c>
      <c r="I124" s="5" t="n">
        <f aca="false">G124/H124</f>
        <v>0.805105845685121</v>
      </c>
      <c r="J124" s="4" t="n">
        <v>0.0404149556948347</v>
      </c>
      <c r="K124" s="4" t="n">
        <v>0.00537682541984976</v>
      </c>
      <c r="L124" s="6" t="n">
        <v>1000</v>
      </c>
      <c r="M124" s="7" t="n">
        <v>76.756</v>
      </c>
      <c r="N124" s="0" t="str">
        <f aca="false">IF(G124&gt;2*H124,"yes","no")</f>
        <v>no</v>
      </c>
    </row>
    <row r="125" customFormat="false" ht="15" hidden="false" customHeight="false" outlineLevel="0" collapsed="false">
      <c r="A125" s="0" t="s">
        <v>33</v>
      </c>
      <c r="B125" s="0" t="s">
        <v>28</v>
      </c>
      <c r="C125" s="0" t="n">
        <v>20</v>
      </c>
      <c r="D125" s="0" t="n">
        <v>0.1</v>
      </c>
      <c r="E125" s="0" t="n">
        <v>100</v>
      </c>
      <c r="F125" s="0" t="s">
        <v>29</v>
      </c>
      <c r="G125" s="4" t="n">
        <v>-0.00109672028410278</v>
      </c>
      <c r="H125" s="4" t="n">
        <v>0.00556023467908202</v>
      </c>
      <c r="I125" s="5" t="n">
        <f aca="false">G125/H125</f>
        <v>-0.197243524311791</v>
      </c>
      <c r="J125" s="4" t="n">
        <v>0.0526028593255484</v>
      </c>
      <c r="K125" s="4" t="n">
        <v>0.00542565021166084</v>
      </c>
      <c r="L125" s="6" t="n">
        <v>2000</v>
      </c>
      <c r="M125" s="7" t="n">
        <v>25.156</v>
      </c>
      <c r="N125" s="0" t="str">
        <f aca="false">IF(G125&gt;2*H125,"yes","no")</f>
        <v>no</v>
      </c>
    </row>
    <row r="126" customFormat="false" ht="15" hidden="false" customHeight="false" outlineLevel="0" collapsed="false">
      <c r="A126" s="0" t="s">
        <v>33</v>
      </c>
      <c r="B126" s="0" t="s">
        <v>28</v>
      </c>
      <c r="C126" s="0" t="n">
        <v>20</v>
      </c>
      <c r="D126" s="0" t="n">
        <v>0.1</v>
      </c>
      <c r="E126" s="0" t="n">
        <v>100</v>
      </c>
      <c r="F126" s="0" t="s">
        <v>30</v>
      </c>
      <c r="G126" s="4" t="n">
        <v>-0.00417929161007209</v>
      </c>
      <c r="H126" s="4" t="n">
        <v>0.00528270407603303</v>
      </c>
      <c r="I126" s="5" t="n">
        <f aca="false">G126/H126</f>
        <v>-0.791127337424222</v>
      </c>
      <c r="J126" s="4" t="n">
        <v>0.00763775231860338</v>
      </c>
      <c r="K126" s="4" t="n">
        <v>0.00552934050171308</v>
      </c>
      <c r="L126" s="6" t="n">
        <v>4600</v>
      </c>
      <c r="M126" s="7" t="n">
        <v>59.556</v>
      </c>
      <c r="N126" s="0" t="str">
        <f aca="false">IF(G126&gt;2*H126,"yes","no")</f>
        <v>no</v>
      </c>
    </row>
    <row r="127" customFormat="false" ht="15" hidden="false" customHeight="false" outlineLevel="0" collapsed="false">
      <c r="A127" s="0" t="s">
        <v>33</v>
      </c>
      <c r="B127" s="0" t="s">
        <v>28</v>
      </c>
      <c r="C127" s="0" t="n">
        <v>20</v>
      </c>
      <c r="D127" s="0" t="n">
        <v>0.1</v>
      </c>
      <c r="E127" s="0" t="n">
        <v>100</v>
      </c>
      <c r="F127" s="0" t="s">
        <v>31</v>
      </c>
      <c r="G127" s="4" t="n">
        <v>-0.00280723643169058</v>
      </c>
      <c r="H127" s="4" t="n">
        <v>0.00521400206750453</v>
      </c>
      <c r="I127" s="5" t="n">
        <f aca="false">G127/H127</f>
        <v>-0.538403398262201</v>
      </c>
      <c r="J127" s="4" t="n">
        <v>-0.00692041522491349</v>
      </c>
      <c r="K127" s="4" t="n">
        <v>0.00552080391584551</v>
      </c>
      <c r="L127" s="6" t="n">
        <v>2000</v>
      </c>
      <c r="M127" s="7" t="n">
        <v>150.756</v>
      </c>
      <c r="N127" s="0" t="str">
        <f aca="false">IF(G127&gt;2*H127,"yes","no")</f>
        <v>no</v>
      </c>
    </row>
    <row r="128" customFormat="false" ht="15" hidden="false" customHeight="false" outlineLevel="0" collapsed="false">
      <c r="A128" s="0" t="s">
        <v>33</v>
      </c>
      <c r="B128" s="0" t="s">
        <v>28</v>
      </c>
      <c r="C128" s="0" t="n">
        <v>20</v>
      </c>
      <c r="D128" s="0" t="n">
        <v>0.3</v>
      </c>
      <c r="E128" s="0" t="n">
        <v>24</v>
      </c>
      <c r="F128" s="0" t="s">
        <v>29</v>
      </c>
      <c r="G128" s="4" t="n">
        <v>0.210368578789631</v>
      </c>
      <c r="H128" s="4" t="n">
        <v>0.00852019107687724</v>
      </c>
      <c r="I128" s="5" t="n">
        <f aca="false">G128/H128</f>
        <v>24.6905940126796</v>
      </c>
      <c r="J128" s="4" t="n">
        <v>0.257575757575758</v>
      </c>
      <c r="K128" s="4" t="n">
        <v>0.00789760460673408</v>
      </c>
      <c r="L128" s="6" t="n">
        <v>480</v>
      </c>
      <c r="M128" s="7" t="n">
        <v>8.132</v>
      </c>
      <c r="N128" s="0" t="str">
        <f aca="false">IF(G128&gt;2*H128,"yes","no")</f>
        <v>yes</v>
      </c>
    </row>
    <row r="129" customFormat="false" ht="15" hidden="false" customHeight="false" outlineLevel="0" collapsed="false">
      <c r="A129" s="0" t="s">
        <v>33</v>
      </c>
      <c r="B129" s="0" t="s">
        <v>28</v>
      </c>
      <c r="C129" s="0" t="n">
        <v>20</v>
      </c>
      <c r="D129" s="0" t="n">
        <v>0.3</v>
      </c>
      <c r="E129" s="0" t="n">
        <v>24</v>
      </c>
      <c r="F129" s="0" t="s">
        <v>30</v>
      </c>
      <c r="G129" s="4" t="n">
        <v>0.0260504201680672</v>
      </c>
      <c r="H129" s="4" t="n">
        <v>0.00587305152809545</v>
      </c>
      <c r="I129" s="5" t="n">
        <f aca="false">G129/H129</f>
        <v>4.43558515423328</v>
      </c>
      <c r="J129" s="4" t="n">
        <v>0.0513668430335097</v>
      </c>
      <c r="K129" s="4" t="n">
        <v>0.0057163850796501</v>
      </c>
      <c r="L129" s="6" t="n">
        <v>1104</v>
      </c>
      <c r="M129" s="7" t="n">
        <v>16.388</v>
      </c>
      <c r="N129" s="0" t="str">
        <f aca="false">IF(G129&gt;2*H129,"yes","no")</f>
        <v>yes</v>
      </c>
    </row>
    <row r="130" customFormat="false" ht="15" hidden="false" customHeight="false" outlineLevel="0" collapsed="false">
      <c r="A130" s="0" t="s">
        <v>33</v>
      </c>
      <c r="B130" s="0" t="s">
        <v>28</v>
      </c>
      <c r="C130" s="0" t="n">
        <v>20</v>
      </c>
      <c r="D130" s="0" t="n">
        <v>0.3</v>
      </c>
      <c r="E130" s="0" t="n">
        <v>24</v>
      </c>
      <c r="F130" s="0" t="s">
        <v>31</v>
      </c>
      <c r="G130" s="4" t="n">
        <v>0.0233814818663618</v>
      </c>
      <c r="H130" s="4" t="n">
        <v>0.00570224547736063</v>
      </c>
      <c r="I130" s="5" t="n">
        <f aca="false">G130/H130</f>
        <v>4.1003990373954</v>
      </c>
      <c r="J130" s="4" t="n">
        <v>0.0774381682687115</v>
      </c>
      <c r="K130" s="4" t="n">
        <v>0.00566784005232698</v>
      </c>
      <c r="L130" s="6" t="n">
        <v>480</v>
      </c>
      <c r="M130" s="7" t="n">
        <v>38.276</v>
      </c>
      <c r="N130" s="0" t="str">
        <f aca="false">IF(G130&gt;2*H130,"yes","no")</f>
        <v>yes</v>
      </c>
    </row>
    <row r="131" customFormat="false" ht="15" hidden="false" customHeight="false" outlineLevel="0" collapsed="false">
      <c r="A131" s="0" t="s">
        <v>33</v>
      </c>
      <c r="B131" s="0" t="s">
        <v>28</v>
      </c>
      <c r="C131" s="0" t="n">
        <v>20</v>
      </c>
      <c r="D131" s="0" t="n">
        <v>0.3</v>
      </c>
      <c r="E131" s="0" t="n">
        <v>50</v>
      </c>
      <c r="F131" s="0" t="s">
        <v>29</v>
      </c>
      <c r="G131" s="4" t="n">
        <v>0.0109976433621367</v>
      </c>
      <c r="H131" s="4" t="n">
        <v>0.00563769449663305</v>
      </c>
      <c r="I131" s="5" t="n">
        <f aca="false">G131/H131</f>
        <v>1.95073418197895</v>
      </c>
      <c r="J131" s="4" t="n">
        <v>0.0532206737627565</v>
      </c>
      <c r="K131" s="4" t="n">
        <v>0.00581465649868044</v>
      </c>
      <c r="L131" s="6" t="n">
        <v>1000</v>
      </c>
      <c r="M131" s="7" t="n">
        <v>13.956</v>
      </c>
      <c r="N131" s="0" t="str">
        <f aca="false">IF(G131&gt;2*H131,"yes","no")</f>
        <v>no</v>
      </c>
    </row>
    <row r="132" customFormat="false" ht="15" hidden="false" customHeight="false" outlineLevel="0" collapsed="false">
      <c r="A132" s="0" t="s">
        <v>33</v>
      </c>
      <c r="B132" s="0" t="s">
        <v>28</v>
      </c>
      <c r="C132" s="0" t="n">
        <v>20</v>
      </c>
      <c r="D132" s="0" t="n">
        <v>0.3</v>
      </c>
      <c r="E132" s="0" t="n">
        <v>50</v>
      </c>
      <c r="F132" s="0" t="s">
        <v>30</v>
      </c>
      <c r="G132" s="4" t="n">
        <v>0.00146550821731393</v>
      </c>
      <c r="H132" s="4" t="n">
        <v>0.00533456282042312</v>
      </c>
      <c r="I132" s="5" t="n">
        <f aca="false">G132/H132</f>
        <v>0.274719459990855</v>
      </c>
      <c r="J132" s="4" t="n">
        <v>0.00285118982344555</v>
      </c>
      <c r="K132" s="4" t="n">
        <v>0.00549527003556795</v>
      </c>
      <c r="L132" s="6" t="n">
        <v>2300</v>
      </c>
      <c r="M132" s="7" t="n">
        <v>31.156</v>
      </c>
      <c r="N132" s="0" t="str">
        <f aca="false">IF(G132&gt;2*H132,"yes","no")</f>
        <v>no</v>
      </c>
    </row>
    <row r="133" customFormat="false" ht="15" hidden="false" customHeight="false" outlineLevel="0" collapsed="false">
      <c r="A133" s="0" t="s">
        <v>33</v>
      </c>
      <c r="B133" s="0" t="s">
        <v>28</v>
      </c>
      <c r="C133" s="0" t="n">
        <v>20</v>
      </c>
      <c r="D133" s="0" t="n">
        <v>0.3</v>
      </c>
      <c r="E133" s="0" t="n">
        <v>50</v>
      </c>
      <c r="F133" s="0" t="s">
        <v>31</v>
      </c>
      <c r="G133" s="4" t="n">
        <v>0.000931918198291483</v>
      </c>
      <c r="H133" s="4" t="n">
        <v>0.00520935698075619</v>
      </c>
      <c r="I133" s="5" t="n">
        <f aca="false">G133/H133</f>
        <v>0.178893134360741</v>
      </c>
      <c r="J133" s="4" t="n">
        <v>0.0196351931330472</v>
      </c>
      <c r="K133" s="4" t="n">
        <v>0.00542498858051702</v>
      </c>
      <c r="L133" s="6" t="n">
        <v>1000</v>
      </c>
      <c r="M133" s="7" t="n">
        <v>76.756</v>
      </c>
      <c r="N133" s="0" t="str">
        <f aca="false">IF(G133&gt;2*H133,"yes","no")</f>
        <v>no</v>
      </c>
    </row>
    <row r="134" customFormat="false" ht="15" hidden="false" customHeight="false" outlineLevel="0" collapsed="false">
      <c r="A134" s="0" t="s">
        <v>33</v>
      </c>
      <c r="B134" s="0" t="s">
        <v>28</v>
      </c>
      <c r="C134" s="0" t="n">
        <v>20</v>
      </c>
      <c r="D134" s="0" t="n">
        <v>0.3</v>
      </c>
      <c r="E134" s="0" t="n">
        <v>100</v>
      </c>
      <c r="F134" s="0" t="s">
        <v>29</v>
      </c>
      <c r="G134" s="4" t="n">
        <v>0.00872335979941496</v>
      </c>
      <c r="H134" s="4" t="n">
        <v>0.00527534746789319</v>
      </c>
      <c r="I134" s="5" t="n">
        <f aca="false">G134/H134</f>
        <v>1.65360857318064</v>
      </c>
      <c r="J134" s="4" t="n">
        <v>0.00960174577195854</v>
      </c>
      <c r="K134" s="4" t="n">
        <v>0.00559749846709312</v>
      </c>
      <c r="L134" s="6" t="n">
        <v>2000</v>
      </c>
      <c r="M134" s="7" t="n">
        <v>25.156</v>
      </c>
      <c r="N134" s="0" t="str">
        <f aca="false">IF(G134&gt;2*H134,"yes","no")</f>
        <v>no</v>
      </c>
    </row>
    <row r="135" customFormat="false" ht="15" hidden="false" customHeight="false" outlineLevel="0" collapsed="false">
      <c r="A135" s="0" t="s">
        <v>33</v>
      </c>
      <c r="B135" s="0" t="s">
        <v>28</v>
      </c>
      <c r="C135" s="0" t="n">
        <v>20</v>
      </c>
      <c r="D135" s="0" t="n">
        <v>0.3</v>
      </c>
      <c r="E135" s="0" t="n">
        <v>100</v>
      </c>
      <c r="F135" s="0" t="s">
        <v>30</v>
      </c>
      <c r="G135" s="4" t="n">
        <v>-0.0101982113906177</v>
      </c>
      <c r="H135" s="4" t="n">
        <v>0.00526445599657582</v>
      </c>
      <c r="I135" s="5" t="n">
        <f aca="false">G135/H135</f>
        <v>-1.93718237881576</v>
      </c>
      <c r="J135" s="4" t="n">
        <v>-0.00349956255468067</v>
      </c>
      <c r="K135" s="4" t="n">
        <v>0.0052821945388647</v>
      </c>
      <c r="L135" s="6" t="n">
        <v>4600</v>
      </c>
      <c r="M135" s="7" t="n">
        <v>59.556</v>
      </c>
      <c r="N135" s="0" t="str">
        <f aca="false">IF(G135&gt;2*H135,"yes","no")</f>
        <v>no</v>
      </c>
    </row>
    <row r="136" customFormat="false" ht="15" hidden="false" customHeight="false" outlineLevel="0" collapsed="false">
      <c r="A136" s="0" t="s">
        <v>33</v>
      </c>
      <c r="B136" s="0" t="s">
        <v>28</v>
      </c>
      <c r="C136" s="0" t="n">
        <v>20</v>
      </c>
      <c r="D136" s="0" t="n">
        <v>0.3</v>
      </c>
      <c r="E136" s="0" t="n">
        <v>100</v>
      </c>
      <c r="F136" s="0" t="s">
        <v>31</v>
      </c>
      <c r="G136" s="4" t="n">
        <v>0.00135374362178486</v>
      </c>
      <c r="H136" s="4" t="n">
        <v>0.00532828030260461</v>
      </c>
      <c r="I136" s="5" t="n">
        <f aca="false">G136/H136</f>
        <v>0.254067643761743</v>
      </c>
      <c r="J136" s="4" t="n">
        <v>0.00661390003252738</v>
      </c>
      <c r="K136" s="4" t="n">
        <v>0.00559892545356468</v>
      </c>
      <c r="L136" s="6" t="n">
        <v>2000</v>
      </c>
      <c r="M136" s="7" t="n">
        <v>150.756</v>
      </c>
      <c r="N136" s="0" t="str">
        <f aca="false">IF(G136&gt;2*H136,"yes","no")</f>
        <v>no</v>
      </c>
    </row>
    <row r="137" customFormat="false" ht="15" hidden="false" customHeight="false" outlineLevel="0" collapsed="false">
      <c r="A137" s="0" t="s">
        <v>33</v>
      </c>
      <c r="B137" s="0" t="s">
        <v>28</v>
      </c>
      <c r="C137" s="0" t="n">
        <v>36</v>
      </c>
      <c r="D137" s="0" t="n">
        <v>0</v>
      </c>
      <c r="E137" s="0" t="n">
        <v>24</v>
      </c>
      <c r="F137" s="0" t="s">
        <v>29</v>
      </c>
      <c r="G137" s="4" t="n">
        <v>0.228043592283933</v>
      </c>
      <c r="H137" s="4" t="n">
        <v>0.00704207977409122</v>
      </c>
      <c r="I137" s="5" t="n">
        <f aca="false">G137/H137</f>
        <v>32.3829890599843</v>
      </c>
      <c r="J137" s="4" t="n">
        <v>0.332089323952279</v>
      </c>
      <c r="K137" s="4" t="n">
        <v>0.00624369899926562</v>
      </c>
      <c r="L137" s="6" t="n">
        <v>864</v>
      </c>
      <c r="M137" s="7" t="n">
        <v>8.324</v>
      </c>
      <c r="N137" s="0" t="str">
        <f aca="false">IF(G137&gt;2*H137,"yes","no")</f>
        <v>yes</v>
      </c>
    </row>
    <row r="138" customFormat="false" ht="15" hidden="false" customHeight="false" outlineLevel="0" collapsed="false">
      <c r="A138" s="0" t="s">
        <v>33</v>
      </c>
      <c r="B138" s="0" t="s">
        <v>28</v>
      </c>
      <c r="C138" s="0" t="n">
        <v>36</v>
      </c>
      <c r="D138" s="0" t="n">
        <v>0</v>
      </c>
      <c r="E138" s="0" t="n">
        <v>24</v>
      </c>
      <c r="F138" s="0" t="s">
        <v>30</v>
      </c>
      <c r="G138" s="4" t="n">
        <v>0.026414764278842</v>
      </c>
      <c r="H138" s="4" t="n">
        <v>0.00462180781237686</v>
      </c>
      <c r="I138" s="5" t="n">
        <f aca="false">G138/H138</f>
        <v>5.7152450623553</v>
      </c>
      <c r="J138" s="4" t="n">
        <v>0.0768759946137838</v>
      </c>
      <c r="K138" s="4" t="n">
        <v>0.00456811204061395</v>
      </c>
      <c r="L138" s="6" t="n">
        <v>2064</v>
      </c>
      <c r="M138" s="7" t="n">
        <v>16.676</v>
      </c>
      <c r="N138" s="0" t="str">
        <f aca="false">IF(G138&gt;2*H138,"yes","no")</f>
        <v>yes</v>
      </c>
    </row>
    <row r="139" customFormat="false" ht="15" hidden="false" customHeight="false" outlineLevel="0" collapsed="false">
      <c r="A139" s="0" t="s">
        <v>33</v>
      </c>
      <c r="B139" s="0" t="s">
        <v>28</v>
      </c>
      <c r="C139" s="0" t="n">
        <v>36</v>
      </c>
      <c r="D139" s="0" t="n">
        <v>0</v>
      </c>
      <c r="E139" s="0" t="n">
        <v>24</v>
      </c>
      <c r="F139" s="0" t="s">
        <v>31</v>
      </c>
      <c r="G139" s="4" t="n">
        <v>0.004611636405824</v>
      </c>
      <c r="H139" s="4" t="n">
        <v>0.00414140946197112</v>
      </c>
      <c r="I139" s="5" t="n">
        <f aca="false">G139/H139</f>
        <v>1.11354273180925</v>
      </c>
      <c r="J139" s="4" t="n">
        <v>0.0528706395348837</v>
      </c>
      <c r="K139" s="4" t="n">
        <v>0.00418911094878317</v>
      </c>
      <c r="L139" s="6" t="n">
        <v>864</v>
      </c>
      <c r="M139" s="7" t="n">
        <v>65.06</v>
      </c>
      <c r="N139" s="0" t="str">
        <f aca="false">IF(G139&gt;2*H139,"yes","no")</f>
        <v>no</v>
      </c>
    </row>
    <row r="140" customFormat="false" ht="15" hidden="false" customHeight="false" outlineLevel="0" collapsed="false">
      <c r="A140" s="0" t="s">
        <v>33</v>
      </c>
      <c r="B140" s="0" t="s">
        <v>28</v>
      </c>
      <c r="C140" s="0" t="n">
        <v>36</v>
      </c>
      <c r="D140" s="0" t="n">
        <v>0</v>
      </c>
      <c r="E140" s="0" t="n">
        <v>50</v>
      </c>
      <c r="F140" s="0" t="s">
        <v>29</v>
      </c>
      <c r="G140" s="4" t="n">
        <v>-0.00323775632237552</v>
      </c>
      <c r="H140" s="4" t="n">
        <v>0.00484162874412886</v>
      </c>
      <c r="I140" s="5" t="n">
        <f aca="false">G140/H140</f>
        <v>-0.668732877608955</v>
      </c>
      <c r="J140" s="4" t="n">
        <v>0.143137254901961</v>
      </c>
      <c r="K140" s="4" t="n">
        <v>0.00468679982661115</v>
      </c>
      <c r="L140" s="6" t="n">
        <v>1800</v>
      </c>
      <c r="M140" s="7" t="n">
        <v>14.356</v>
      </c>
      <c r="N140" s="0" t="str">
        <f aca="false">IF(G140&gt;2*H140,"yes","no")</f>
        <v>no</v>
      </c>
    </row>
    <row r="141" customFormat="false" ht="15" hidden="false" customHeight="false" outlineLevel="0" collapsed="false">
      <c r="A141" s="0" t="s">
        <v>33</v>
      </c>
      <c r="B141" s="0" t="s">
        <v>28</v>
      </c>
      <c r="C141" s="0" t="n">
        <v>36</v>
      </c>
      <c r="D141" s="0" t="n">
        <v>0</v>
      </c>
      <c r="E141" s="0" t="n">
        <v>50</v>
      </c>
      <c r="F141" s="0" t="s">
        <v>30</v>
      </c>
      <c r="G141" s="4" t="n">
        <v>-0.00212759756346361</v>
      </c>
      <c r="H141" s="4" t="n">
        <v>0.00402937168567896</v>
      </c>
      <c r="I141" s="5" t="n">
        <f aca="false">G141/H141</f>
        <v>-0.528022165596051</v>
      </c>
      <c r="J141" s="4" t="n">
        <v>0.0126590019569472</v>
      </c>
      <c r="K141" s="4" t="n">
        <v>0.00411464291531426</v>
      </c>
      <c r="L141" s="6" t="n">
        <v>4300</v>
      </c>
      <c r="M141" s="7" t="n">
        <v>31.756</v>
      </c>
      <c r="N141" s="0" t="str">
        <f aca="false">IF(G141&gt;2*H141,"yes","no")</f>
        <v>no</v>
      </c>
    </row>
    <row r="142" customFormat="false" ht="15" hidden="false" customHeight="false" outlineLevel="0" collapsed="false">
      <c r="A142" s="0" t="s">
        <v>33</v>
      </c>
      <c r="B142" s="0" t="s">
        <v>28</v>
      </c>
      <c r="C142" s="0" t="n">
        <v>36</v>
      </c>
      <c r="D142" s="0" t="n">
        <v>0</v>
      </c>
      <c r="E142" s="0" t="n">
        <v>50</v>
      </c>
      <c r="F142" s="0" t="s">
        <v>31</v>
      </c>
      <c r="G142" s="4" t="n">
        <v>0.00176934679197123</v>
      </c>
      <c r="H142" s="4" t="n">
        <v>0.00391476075476644</v>
      </c>
      <c r="I142" s="5" t="n">
        <f aca="false">G142/H142</f>
        <v>0.451968051896133</v>
      </c>
      <c r="J142" s="4" t="n">
        <v>0.00321017565112053</v>
      </c>
      <c r="K142" s="4" t="n">
        <v>0.00401515018349979</v>
      </c>
      <c r="L142" s="6" t="n">
        <v>1800</v>
      </c>
      <c r="M142" s="7" t="n">
        <v>132.556</v>
      </c>
      <c r="N142" s="0" t="str">
        <f aca="false">IF(G142&gt;2*H142,"yes","no")</f>
        <v>no</v>
      </c>
    </row>
    <row r="143" customFormat="false" ht="15" hidden="false" customHeight="false" outlineLevel="0" collapsed="false">
      <c r="A143" s="0" t="s">
        <v>33</v>
      </c>
      <c r="B143" s="0" t="s">
        <v>28</v>
      </c>
      <c r="C143" s="0" t="n">
        <v>36</v>
      </c>
      <c r="D143" s="0" t="n">
        <v>0</v>
      </c>
      <c r="E143" s="0" t="n">
        <v>100</v>
      </c>
      <c r="F143" s="0" t="s">
        <v>29</v>
      </c>
      <c r="G143" s="4" t="n">
        <v>0.00137274373503125</v>
      </c>
      <c r="H143" s="4" t="n">
        <v>0.00414083662694754</v>
      </c>
      <c r="I143" s="5" t="n">
        <f aca="false">G143/H143</f>
        <v>0.331513618793308</v>
      </c>
      <c r="J143" s="4" t="n">
        <v>0.0519759450171821</v>
      </c>
      <c r="K143" s="4" t="n">
        <v>0.00425150859376489</v>
      </c>
      <c r="L143" s="6" t="n">
        <v>3600</v>
      </c>
      <c r="M143" s="7" t="n">
        <v>25.956</v>
      </c>
      <c r="N143" s="0" t="str">
        <f aca="false">IF(G143&gt;2*H143,"yes","no")</f>
        <v>no</v>
      </c>
    </row>
    <row r="144" customFormat="false" ht="15" hidden="false" customHeight="false" outlineLevel="0" collapsed="false">
      <c r="A144" s="0" t="s">
        <v>33</v>
      </c>
      <c r="B144" s="0" t="s">
        <v>28</v>
      </c>
      <c r="C144" s="0" t="n">
        <v>36</v>
      </c>
      <c r="D144" s="0" t="n">
        <v>0</v>
      </c>
      <c r="E144" s="0" t="n">
        <v>100</v>
      </c>
      <c r="F144" s="0" t="s">
        <v>30</v>
      </c>
      <c r="G144" s="4" t="n">
        <v>-0.00447800509263324</v>
      </c>
      <c r="H144" s="4" t="n">
        <v>0.00389747304382807</v>
      </c>
      <c r="I144" s="5" t="n">
        <f aca="false">G144/H144</f>
        <v>-1.14895088234786</v>
      </c>
      <c r="J144" s="4" t="n">
        <v>-0.00351461339252682</v>
      </c>
      <c r="K144" s="4" t="n">
        <v>0.00412171240072983</v>
      </c>
      <c r="L144" s="6" t="n">
        <v>8600</v>
      </c>
      <c r="M144" s="7" t="n">
        <v>60.756</v>
      </c>
      <c r="N144" s="0" t="str">
        <f aca="false">IF(G144&gt;2*H144,"yes","no")</f>
        <v>no</v>
      </c>
    </row>
    <row r="145" customFormat="false" ht="15" hidden="false" customHeight="false" outlineLevel="0" collapsed="false">
      <c r="A145" s="0" t="s">
        <v>33</v>
      </c>
      <c r="B145" s="0" t="s">
        <v>28</v>
      </c>
      <c r="C145" s="0" t="n">
        <v>36</v>
      </c>
      <c r="D145" s="0" t="n">
        <v>0</v>
      </c>
      <c r="E145" s="0" t="n">
        <v>100</v>
      </c>
      <c r="F145" s="0" t="s">
        <v>31</v>
      </c>
      <c r="G145" s="4" t="n">
        <v>-0.000899280575539569</v>
      </c>
      <c r="H145" s="4" t="n">
        <v>0.0039358964855304</v>
      </c>
      <c r="I145" s="5" t="n">
        <f aca="false">G145/H145</f>
        <v>-0.228481764915721</v>
      </c>
      <c r="J145" s="4" t="n">
        <v>-0.00139368599648549</v>
      </c>
      <c r="K145" s="4" t="n">
        <v>0.00402236343527144</v>
      </c>
      <c r="L145" s="6" t="n">
        <v>3600</v>
      </c>
      <c r="M145" s="7" t="n">
        <v>262.356</v>
      </c>
      <c r="N145" s="0" t="str">
        <f aca="false">IF(G145&gt;2*H145,"yes","no")</f>
        <v>no</v>
      </c>
    </row>
    <row r="146" customFormat="false" ht="15" hidden="false" customHeight="false" outlineLevel="0" collapsed="false">
      <c r="A146" s="0" t="s">
        <v>33</v>
      </c>
      <c r="B146" s="0" t="s">
        <v>28</v>
      </c>
      <c r="C146" s="0" t="n">
        <v>36</v>
      </c>
      <c r="D146" s="0" t="n">
        <v>0.1</v>
      </c>
      <c r="E146" s="0" t="n">
        <v>24</v>
      </c>
      <c r="F146" s="0" t="s">
        <v>29</v>
      </c>
      <c r="G146" s="4" t="n">
        <v>0.234407848633497</v>
      </c>
      <c r="H146" s="4" t="n">
        <v>0.00684465857469269</v>
      </c>
      <c r="I146" s="5" t="n">
        <f aca="false">G146/H146</f>
        <v>34.2468285416298</v>
      </c>
      <c r="J146" s="4" t="n">
        <v>0.319683202357564</v>
      </c>
      <c r="K146" s="4" t="n">
        <v>0.00599909346372064</v>
      </c>
      <c r="L146" s="6" t="n">
        <v>864</v>
      </c>
      <c r="M146" s="7" t="n">
        <v>8.324</v>
      </c>
      <c r="N146" s="0" t="str">
        <f aca="false">IF(G146&gt;2*H146,"yes","no")</f>
        <v>yes</v>
      </c>
    </row>
    <row r="147" customFormat="false" ht="15" hidden="false" customHeight="false" outlineLevel="0" collapsed="false">
      <c r="A147" s="0" t="s">
        <v>33</v>
      </c>
      <c r="B147" s="0" t="s">
        <v>28</v>
      </c>
      <c r="C147" s="0" t="n">
        <v>36</v>
      </c>
      <c r="D147" s="0" t="n">
        <v>0.1</v>
      </c>
      <c r="E147" s="0" t="n">
        <v>24</v>
      </c>
      <c r="F147" s="0" t="s">
        <v>30</v>
      </c>
      <c r="G147" s="4" t="n">
        <v>0.0241048034934498</v>
      </c>
      <c r="H147" s="4" t="n">
        <v>0.00444806007066423</v>
      </c>
      <c r="I147" s="5" t="n">
        <f aca="false">G147/H147</f>
        <v>5.41917220327696</v>
      </c>
      <c r="J147" s="4" t="n">
        <v>0.0743973146170278</v>
      </c>
      <c r="K147" s="4" t="n">
        <v>0.0042516103831857</v>
      </c>
      <c r="L147" s="6" t="n">
        <v>2064</v>
      </c>
      <c r="M147" s="7" t="n">
        <v>16.676</v>
      </c>
      <c r="N147" s="0" t="str">
        <f aca="false">IF(G147&gt;2*H147,"yes","no")</f>
        <v>yes</v>
      </c>
    </row>
    <row r="148" customFormat="false" ht="15" hidden="false" customHeight="false" outlineLevel="0" collapsed="false">
      <c r="A148" s="0" t="s">
        <v>33</v>
      </c>
      <c r="B148" s="0" t="s">
        <v>28</v>
      </c>
      <c r="C148" s="0" t="n">
        <v>36</v>
      </c>
      <c r="D148" s="0" t="n">
        <v>0.1</v>
      </c>
      <c r="E148" s="0" t="n">
        <v>24</v>
      </c>
      <c r="F148" s="0" t="s">
        <v>31</v>
      </c>
      <c r="G148" s="4" t="n">
        <v>0.0099113197704747</v>
      </c>
      <c r="H148" s="4" t="n">
        <v>0.00407224558541901</v>
      </c>
      <c r="I148" s="5" t="n">
        <f aca="false">G148/H148</f>
        <v>2.43387083675968</v>
      </c>
      <c r="J148" s="4" t="n">
        <v>0.0536750483558994</v>
      </c>
      <c r="K148" s="4" t="n">
        <v>0.00406961198779932</v>
      </c>
      <c r="L148" s="6" t="n">
        <v>864</v>
      </c>
      <c r="M148" s="7" t="n">
        <v>65.06</v>
      </c>
      <c r="N148" s="0" t="str">
        <f aca="false">IF(G148&gt;2*H148,"yes","no")</f>
        <v>yes</v>
      </c>
    </row>
    <row r="149" customFormat="false" ht="15" hidden="false" customHeight="false" outlineLevel="0" collapsed="false">
      <c r="A149" s="0" t="s">
        <v>33</v>
      </c>
      <c r="B149" s="0" t="s">
        <v>28</v>
      </c>
      <c r="C149" s="0" t="n">
        <v>36</v>
      </c>
      <c r="D149" s="0" t="n">
        <v>0.1</v>
      </c>
      <c r="E149" s="0" t="n">
        <v>50</v>
      </c>
      <c r="F149" s="0" t="s">
        <v>29</v>
      </c>
      <c r="G149" s="4" t="n">
        <v>0.00934171468482626</v>
      </c>
      <c r="H149" s="4" t="n">
        <v>0.00465534047821194</v>
      </c>
      <c r="I149" s="5" t="n">
        <f aca="false">G149/H149</f>
        <v>2.00666626394946</v>
      </c>
      <c r="J149" s="4" t="n">
        <v>0.123178242575767</v>
      </c>
      <c r="K149" s="4" t="n">
        <v>0.00432014463741216</v>
      </c>
      <c r="L149" s="6" t="n">
        <v>1800</v>
      </c>
      <c r="M149" s="7" t="n">
        <v>14.356</v>
      </c>
      <c r="N149" s="0" t="str">
        <f aca="false">IF(G149&gt;2*H149,"yes","no")</f>
        <v>yes</v>
      </c>
    </row>
    <row r="150" customFormat="false" ht="15" hidden="false" customHeight="false" outlineLevel="0" collapsed="false">
      <c r="A150" s="0" t="s">
        <v>33</v>
      </c>
      <c r="B150" s="0" t="s">
        <v>28</v>
      </c>
      <c r="C150" s="0" t="n">
        <v>36</v>
      </c>
      <c r="D150" s="0" t="n">
        <v>0.1</v>
      </c>
      <c r="E150" s="0" t="n">
        <v>50</v>
      </c>
      <c r="F150" s="0" t="s">
        <v>30</v>
      </c>
      <c r="G150" s="4" t="n">
        <v>-0.00114065104852154</v>
      </c>
      <c r="H150" s="4" t="n">
        <v>0.00400588257601842</v>
      </c>
      <c r="I150" s="5" t="n">
        <f aca="false">G150/H150</f>
        <v>-0.284744005066487</v>
      </c>
      <c r="J150" s="4" t="n">
        <v>0.00480059084194978</v>
      </c>
      <c r="K150" s="4" t="n">
        <v>0.00422083903991141</v>
      </c>
      <c r="L150" s="6" t="n">
        <v>4300</v>
      </c>
      <c r="M150" s="7" t="n">
        <v>31.756</v>
      </c>
      <c r="N150" s="0" t="str">
        <f aca="false">IF(G150&gt;2*H150,"yes","no")</f>
        <v>no</v>
      </c>
    </row>
    <row r="151" customFormat="false" ht="15" hidden="false" customHeight="false" outlineLevel="0" collapsed="false">
      <c r="A151" s="0" t="s">
        <v>33</v>
      </c>
      <c r="B151" s="0" t="s">
        <v>28</v>
      </c>
      <c r="C151" s="0" t="n">
        <v>36</v>
      </c>
      <c r="D151" s="0" t="n">
        <v>0.1</v>
      </c>
      <c r="E151" s="0" t="n">
        <v>50</v>
      </c>
      <c r="F151" s="0" t="s">
        <v>31</v>
      </c>
      <c r="G151" s="4" t="n">
        <v>0.00382032877981014</v>
      </c>
      <c r="H151" s="4" t="n">
        <v>0.00393508244134924</v>
      </c>
      <c r="I151" s="5" t="n">
        <f aca="false">G151/H151</f>
        <v>0.970838308155052</v>
      </c>
      <c r="J151" s="4" t="n">
        <v>0.00759951749095296</v>
      </c>
      <c r="K151" s="4" t="n">
        <v>0.00395058701992107</v>
      </c>
      <c r="L151" s="6" t="n">
        <v>1800</v>
      </c>
      <c r="M151" s="7" t="n">
        <v>132.556</v>
      </c>
      <c r="N151" s="0" t="str">
        <f aca="false">IF(G151&gt;2*H151,"yes","no")</f>
        <v>no</v>
      </c>
    </row>
    <row r="152" customFormat="false" ht="15" hidden="false" customHeight="false" outlineLevel="0" collapsed="false">
      <c r="A152" s="0" t="s">
        <v>33</v>
      </c>
      <c r="B152" s="0" t="s">
        <v>28</v>
      </c>
      <c r="C152" s="0" t="n">
        <v>36</v>
      </c>
      <c r="D152" s="0" t="n">
        <v>0.1</v>
      </c>
      <c r="E152" s="0" t="n">
        <v>100</v>
      </c>
      <c r="F152" s="0" t="s">
        <v>29</v>
      </c>
      <c r="G152" s="4" t="n">
        <v>0.00628618209461435</v>
      </c>
      <c r="H152" s="4" t="n">
        <v>0.00410083495071736</v>
      </c>
      <c r="I152" s="5" t="n">
        <f aca="false">G152/H152</f>
        <v>1.53290297467707</v>
      </c>
      <c r="J152" s="4" t="n">
        <v>0.047947313350157</v>
      </c>
      <c r="K152" s="4" t="n">
        <v>0.00415434890024903</v>
      </c>
      <c r="L152" s="6" t="n">
        <v>3600</v>
      </c>
      <c r="M152" s="7" t="n">
        <v>25.956</v>
      </c>
      <c r="N152" s="0" t="str">
        <f aca="false">IF(G152&gt;2*H152,"yes","no")</f>
        <v>no</v>
      </c>
    </row>
    <row r="153" customFormat="false" ht="15" hidden="false" customHeight="false" outlineLevel="0" collapsed="false">
      <c r="A153" s="0" t="s">
        <v>33</v>
      </c>
      <c r="B153" s="0" t="s">
        <v>28</v>
      </c>
      <c r="C153" s="0" t="n">
        <v>36</v>
      </c>
      <c r="D153" s="0" t="n">
        <v>0.1</v>
      </c>
      <c r="E153" s="0" t="n">
        <v>100</v>
      </c>
      <c r="F153" s="0" t="s">
        <v>30</v>
      </c>
      <c r="G153" s="4" t="n">
        <v>-0.00307386047600925</v>
      </c>
      <c r="H153" s="4" t="n">
        <v>0.00385973615436599</v>
      </c>
      <c r="I153" s="5" t="n">
        <f aca="false">G153/H153</f>
        <v>-0.796391347251084</v>
      </c>
      <c r="J153" s="4" t="n">
        <v>-0.00117189909332018</v>
      </c>
      <c r="K153" s="4" t="n">
        <v>0.00411678542616612</v>
      </c>
      <c r="L153" s="6" t="n">
        <v>8600</v>
      </c>
      <c r="M153" s="7" t="n">
        <v>60.756</v>
      </c>
      <c r="N153" s="0" t="str">
        <f aca="false">IF(G153&gt;2*H153,"yes","no")</f>
        <v>no</v>
      </c>
    </row>
    <row r="154" customFormat="false" ht="15" hidden="false" customHeight="false" outlineLevel="0" collapsed="false">
      <c r="A154" s="0" t="s">
        <v>33</v>
      </c>
      <c r="B154" s="0" t="s">
        <v>28</v>
      </c>
      <c r="C154" s="0" t="n">
        <v>36</v>
      </c>
      <c r="D154" s="0" t="n">
        <v>0.1</v>
      </c>
      <c r="E154" s="0" t="n">
        <v>100</v>
      </c>
      <c r="F154" s="0" t="s">
        <v>31</v>
      </c>
      <c r="G154" s="4" t="n">
        <v>0.00899019778435125</v>
      </c>
      <c r="H154" s="4" t="n">
        <v>0.00371069452026323</v>
      </c>
      <c r="I154" s="5" t="n">
        <f aca="false">G154/H154</f>
        <v>2.42278035425926</v>
      </c>
      <c r="J154" s="4" t="n">
        <v>-0.00435940905788327</v>
      </c>
      <c r="K154" s="4" t="n">
        <v>0.00409926479090863</v>
      </c>
      <c r="L154" s="6" t="n">
        <v>3600</v>
      </c>
      <c r="M154" s="7" t="n">
        <v>262.356</v>
      </c>
      <c r="N154" s="0" t="str">
        <f aca="false">IF(G154&gt;2*H154,"yes","no")</f>
        <v>yes</v>
      </c>
    </row>
    <row r="155" customFormat="false" ht="15" hidden="false" customHeight="false" outlineLevel="0" collapsed="false">
      <c r="A155" s="0" t="s">
        <v>33</v>
      </c>
      <c r="B155" s="0" t="s">
        <v>28</v>
      </c>
      <c r="C155" s="0" t="n">
        <v>36</v>
      </c>
      <c r="D155" s="0" t="n">
        <v>0.3</v>
      </c>
      <c r="E155" s="0" t="n">
        <v>24</v>
      </c>
      <c r="F155" s="0" t="s">
        <v>29</v>
      </c>
      <c r="G155" s="4" t="n">
        <v>0.252624825011666</v>
      </c>
      <c r="H155" s="4" t="n">
        <v>0.00640339192797951</v>
      </c>
      <c r="I155" s="5" t="n">
        <f aca="false">G155/H155</f>
        <v>39.4517199404625</v>
      </c>
      <c r="J155" s="4" t="n">
        <v>0.293667319941205</v>
      </c>
      <c r="K155" s="4" t="n">
        <v>0.00606552692358945</v>
      </c>
      <c r="L155" s="6" t="n">
        <v>864</v>
      </c>
      <c r="M155" s="7" t="n">
        <v>8.324</v>
      </c>
      <c r="N155" s="0" t="str">
        <f aca="false">IF(G155&gt;2*H155,"yes","no")</f>
        <v>yes</v>
      </c>
    </row>
    <row r="156" customFormat="false" ht="15" hidden="false" customHeight="false" outlineLevel="0" collapsed="false">
      <c r="A156" s="0" t="s">
        <v>33</v>
      </c>
      <c r="B156" s="0" t="s">
        <v>28</v>
      </c>
      <c r="C156" s="0" t="n">
        <v>36</v>
      </c>
      <c r="D156" s="0" t="n">
        <v>0.3</v>
      </c>
      <c r="E156" s="0" t="n">
        <v>24</v>
      </c>
      <c r="F156" s="0" t="s">
        <v>30</v>
      </c>
      <c r="G156" s="4" t="n">
        <v>0.0289216401575952</v>
      </c>
      <c r="H156" s="4" t="n">
        <v>0.00415085670687345</v>
      </c>
      <c r="I156" s="5" t="n">
        <f aca="false">G156/H156</f>
        <v>6.96763155174776</v>
      </c>
      <c r="J156" s="4" t="n">
        <v>0.0464432326450585</v>
      </c>
      <c r="K156" s="4" t="n">
        <v>0.00436273071070102</v>
      </c>
      <c r="L156" s="6" t="n">
        <v>2064</v>
      </c>
      <c r="M156" s="7" t="n">
        <v>16.676</v>
      </c>
      <c r="N156" s="0" t="str">
        <f aca="false">IF(G156&gt;2*H156,"yes","no")</f>
        <v>yes</v>
      </c>
    </row>
    <row r="157" customFormat="false" ht="15" hidden="false" customHeight="false" outlineLevel="0" collapsed="false">
      <c r="A157" s="0" t="s">
        <v>33</v>
      </c>
      <c r="B157" s="0" t="s">
        <v>28</v>
      </c>
      <c r="C157" s="0" t="n">
        <v>36</v>
      </c>
      <c r="D157" s="0" t="n">
        <v>0.3</v>
      </c>
      <c r="E157" s="0" t="n">
        <v>24</v>
      </c>
      <c r="F157" s="0" t="s">
        <v>31</v>
      </c>
      <c r="G157" s="4" t="n">
        <v>-0.00191093867624066</v>
      </c>
      <c r="H157" s="4" t="n">
        <v>0.0039902970402878</v>
      </c>
      <c r="I157" s="5" t="n">
        <f aca="false">G157/H157</f>
        <v>-0.478896347050604</v>
      </c>
      <c r="J157" s="4" t="n">
        <v>0.0333957364575155</v>
      </c>
      <c r="K157" s="4" t="n">
        <v>0.00408718144147643</v>
      </c>
      <c r="L157" s="6" t="n">
        <v>864</v>
      </c>
      <c r="M157" s="7" t="n">
        <v>65.06</v>
      </c>
      <c r="N157" s="0" t="str">
        <f aca="false">IF(G157&gt;2*H157,"yes","no")</f>
        <v>no</v>
      </c>
    </row>
    <row r="158" customFormat="false" ht="15" hidden="false" customHeight="false" outlineLevel="0" collapsed="false">
      <c r="A158" s="0" t="s">
        <v>33</v>
      </c>
      <c r="B158" s="0" t="s">
        <v>28</v>
      </c>
      <c r="C158" s="0" t="n">
        <v>36</v>
      </c>
      <c r="D158" s="0" t="n">
        <v>0.3</v>
      </c>
      <c r="E158" s="0" t="n">
        <v>50</v>
      </c>
      <c r="F158" s="0" t="s">
        <v>29</v>
      </c>
      <c r="G158" s="4" t="n">
        <v>0.00472344519928857</v>
      </c>
      <c r="H158" s="4" t="n">
        <v>0.00422238655649472</v>
      </c>
      <c r="I158" s="5" t="n">
        <f aca="false">G158/H158</f>
        <v>1.11866716514222</v>
      </c>
      <c r="J158" s="4" t="n">
        <v>0.0561336924583742</v>
      </c>
      <c r="K158" s="4" t="n">
        <v>0.00453996703312976</v>
      </c>
      <c r="L158" s="6" t="n">
        <v>1800</v>
      </c>
      <c r="M158" s="7" t="n">
        <v>14.356</v>
      </c>
      <c r="N158" s="0" t="str">
        <f aca="false">IF(G158&gt;2*H158,"yes","no")</f>
        <v>no</v>
      </c>
    </row>
    <row r="159" customFormat="false" ht="15" hidden="false" customHeight="false" outlineLevel="0" collapsed="false">
      <c r="A159" s="0" t="s">
        <v>33</v>
      </c>
      <c r="B159" s="0" t="s">
        <v>28</v>
      </c>
      <c r="C159" s="0" t="n">
        <v>36</v>
      </c>
      <c r="D159" s="0" t="n">
        <v>0.3</v>
      </c>
      <c r="E159" s="0" t="n">
        <v>50</v>
      </c>
      <c r="F159" s="0" t="s">
        <v>30</v>
      </c>
      <c r="G159" s="4" t="n">
        <v>-0.004166302479387</v>
      </c>
      <c r="H159" s="4" t="n">
        <v>0.00388775398533566</v>
      </c>
      <c r="I159" s="5" t="n">
        <f aca="false">G159/H159</f>
        <v>-1.07164766471901</v>
      </c>
      <c r="J159" s="4" t="n">
        <v>0.000305399462496946</v>
      </c>
      <c r="K159" s="4" t="n">
        <v>0.00405523294499179</v>
      </c>
      <c r="L159" s="6" t="n">
        <v>4300</v>
      </c>
      <c r="M159" s="7" t="n">
        <v>31.756</v>
      </c>
      <c r="N159" s="0" t="str">
        <f aca="false">IF(G159&gt;2*H159,"yes","no")</f>
        <v>no</v>
      </c>
    </row>
    <row r="160" customFormat="false" ht="15" hidden="false" customHeight="false" outlineLevel="0" collapsed="false">
      <c r="A160" s="0" t="s">
        <v>33</v>
      </c>
      <c r="B160" s="0" t="s">
        <v>28</v>
      </c>
      <c r="C160" s="0" t="n">
        <v>36</v>
      </c>
      <c r="D160" s="0" t="n">
        <v>0.3</v>
      </c>
      <c r="E160" s="0" t="n">
        <v>50</v>
      </c>
      <c r="F160" s="0" t="s">
        <v>31</v>
      </c>
      <c r="G160" s="4" t="n">
        <v>-0.00680193348577383</v>
      </c>
      <c r="H160" s="4" t="n">
        <v>0.00391250810217053</v>
      </c>
      <c r="I160" s="5" t="n">
        <f aca="false">G160/H160</f>
        <v>-1.73850975081696</v>
      </c>
      <c r="J160" s="4" t="n">
        <v>-0.00138671168455324</v>
      </c>
      <c r="K160" s="4" t="n">
        <v>0.0040790317616789</v>
      </c>
      <c r="L160" s="6" t="n">
        <v>1800</v>
      </c>
      <c r="M160" s="7" t="n">
        <v>132.556</v>
      </c>
      <c r="N160" s="0" t="str">
        <f aca="false">IF(G160&gt;2*H160,"yes","no")</f>
        <v>no</v>
      </c>
    </row>
    <row r="161" customFormat="false" ht="15" hidden="false" customHeight="false" outlineLevel="0" collapsed="false">
      <c r="A161" s="0" t="s">
        <v>33</v>
      </c>
      <c r="B161" s="0" t="s">
        <v>28</v>
      </c>
      <c r="C161" s="0" t="n">
        <v>36</v>
      </c>
      <c r="D161" s="0" t="n">
        <v>0.3</v>
      </c>
      <c r="E161" s="0" t="n">
        <v>100</v>
      </c>
      <c r="F161" s="0" t="s">
        <v>29</v>
      </c>
      <c r="G161" s="4" t="n">
        <v>0.00459010642030172</v>
      </c>
      <c r="H161" s="4" t="n">
        <v>0.00388873896948545</v>
      </c>
      <c r="I161" s="5" t="n">
        <f aca="false">G161/H161</f>
        <v>1.1803585831602</v>
      </c>
      <c r="J161" s="4" t="n">
        <v>0.00461595273264402</v>
      </c>
      <c r="K161" s="4" t="n">
        <v>0.00411363639111463</v>
      </c>
      <c r="L161" s="6" t="n">
        <v>3600</v>
      </c>
      <c r="M161" s="7" t="n">
        <v>25.956</v>
      </c>
      <c r="N161" s="0" t="str">
        <f aca="false">IF(G161&gt;2*H161,"yes","no")</f>
        <v>no</v>
      </c>
    </row>
    <row r="162" customFormat="false" ht="15" hidden="false" customHeight="false" outlineLevel="0" collapsed="false">
      <c r="A162" s="0" t="s">
        <v>33</v>
      </c>
      <c r="B162" s="0" t="s">
        <v>28</v>
      </c>
      <c r="C162" s="0" t="n">
        <v>36</v>
      </c>
      <c r="D162" s="0" t="n">
        <v>0.3</v>
      </c>
      <c r="E162" s="0" t="n">
        <v>100</v>
      </c>
      <c r="F162" s="0" t="s">
        <v>30</v>
      </c>
      <c r="G162" s="4" t="n">
        <v>-0.0104656941561669</v>
      </c>
      <c r="H162" s="4" t="n">
        <v>0.00401110311177136</v>
      </c>
      <c r="I162" s="5" t="n">
        <f aca="false">G162/H162</f>
        <v>-2.60918103188454</v>
      </c>
      <c r="J162" s="4" t="n">
        <v>0.00160009846759801</v>
      </c>
      <c r="K162" s="4" t="n">
        <v>0.00412395013299504</v>
      </c>
      <c r="L162" s="6" t="n">
        <v>8600</v>
      </c>
      <c r="M162" s="7" t="n">
        <v>60.756</v>
      </c>
      <c r="N162" s="0" t="str">
        <f aca="false">IF(G162&gt;2*H162,"yes","no")</f>
        <v>no</v>
      </c>
    </row>
    <row r="163" customFormat="false" ht="15" hidden="false" customHeight="false" outlineLevel="0" collapsed="false">
      <c r="A163" s="0" t="s">
        <v>33</v>
      </c>
      <c r="B163" s="0" t="s">
        <v>28</v>
      </c>
      <c r="C163" s="0" t="n">
        <v>36</v>
      </c>
      <c r="D163" s="0" t="n">
        <v>0.3</v>
      </c>
      <c r="E163" s="0" t="n">
        <v>100</v>
      </c>
      <c r="F163" s="0" t="s">
        <v>31</v>
      </c>
      <c r="G163" s="4" t="n">
        <v>0.00173993736225496</v>
      </c>
      <c r="H163" s="4" t="n">
        <v>0.00385469573838609</v>
      </c>
      <c r="I163" s="5" t="n">
        <f aca="false">G163/H163</f>
        <v>0.451381245198732</v>
      </c>
      <c r="J163" s="4" t="n">
        <v>-0.00242174729067022</v>
      </c>
      <c r="K163" s="4" t="n">
        <v>0.00409669410751482</v>
      </c>
      <c r="L163" s="6" t="n">
        <v>3600</v>
      </c>
      <c r="M163" s="7" t="n">
        <v>262.356</v>
      </c>
      <c r="N163" s="0" t="str">
        <f aca="false">IF(G163&gt;2*H163,"yes","no")</f>
        <v>no</v>
      </c>
    </row>
    <row r="164" customFormat="false" ht="15" hidden="false" customHeight="false" outlineLevel="0" collapsed="false">
      <c r="A164" s="0" t="s">
        <v>33</v>
      </c>
      <c r="B164" s="0" t="s">
        <v>32</v>
      </c>
      <c r="C164" s="0" t="n">
        <v>40</v>
      </c>
      <c r="D164" s="0" t="n">
        <v>0</v>
      </c>
      <c r="E164" s="0" t="n">
        <v>24</v>
      </c>
      <c r="F164" s="0" t="s">
        <v>29</v>
      </c>
      <c r="G164" s="4" t="n">
        <v>0.201752064365869</v>
      </c>
      <c r="H164" s="4" t="n">
        <v>0.00659558295955944</v>
      </c>
      <c r="I164" s="5" t="n">
        <f aca="false">G164/H164</f>
        <v>30.5889662222284</v>
      </c>
      <c r="J164" s="4" t="n">
        <v>0.310031418312388</v>
      </c>
      <c r="K164" s="4" t="n">
        <v>0.00564269175404228</v>
      </c>
      <c r="L164" s="6" t="n">
        <v>960</v>
      </c>
      <c r="M164" s="7" t="n">
        <v>8.132</v>
      </c>
      <c r="N164" s="0" t="str">
        <f aca="false">IF(G164&gt;2*H164,"yes","no")</f>
        <v>yes</v>
      </c>
    </row>
    <row r="165" customFormat="false" ht="15" hidden="false" customHeight="false" outlineLevel="0" collapsed="false">
      <c r="A165" s="0" t="s">
        <v>33</v>
      </c>
      <c r="B165" s="0" t="s">
        <v>32</v>
      </c>
      <c r="C165" s="0" t="n">
        <v>40</v>
      </c>
      <c r="D165" s="0" t="n">
        <v>0</v>
      </c>
      <c r="E165" s="0" t="n">
        <v>24</v>
      </c>
      <c r="F165" s="0" t="s">
        <v>30</v>
      </c>
      <c r="G165" s="4" t="n">
        <v>-0.00203531401987735</v>
      </c>
      <c r="H165" s="4" t="n">
        <v>0.00391510066506605</v>
      </c>
      <c r="I165" s="5" t="n">
        <f aca="false">G165/H165</f>
        <v>-0.519862500098197</v>
      </c>
      <c r="J165" s="4" t="n">
        <v>0.0348395034112515</v>
      </c>
      <c r="K165" s="4" t="n">
        <v>0.00403453042951745</v>
      </c>
      <c r="L165" s="6" t="n">
        <v>2304</v>
      </c>
      <c r="M165" s="7" t="n">
        <v>16.388</v>
      </c>
      <c r="N165" s="0" t="str">
        <f aca="false">IF(G165&gt;2*H165,"yes","no")</f>
        <v>no</v>
      </c>
    </row>
    <row r="166" customFormat="false" ht="15" hidden="false" customHeight="false" outlineLevel="0" collapsed="false">
      <c r="A166" s="0" t="s">
        <v>33</v>
      </c>
      <c r="B166" s="0" t="s">
        <v>32</v>
      </c>
      <c r="C166" s="0" t="n">
        <v>40</v>
      </c>
      <c r="D166" s="0" t="n">
        <v>0</v>
      </c>
      <c r="E166" s="0" t="n">
        <v>24</v>
      </c>
      <c r="F166" s="0" t="s">
        <v>31</v>
      </c>
      <c r="G166" s="4" t="n">
        <v>0.0136513332625093</v>
      </c>
      <c r="H166" s="4" t="n">
        <v>0.00404972590426658</v>
      </c>
      <c r="I166" s="5" t="n">
        <f aca="false">G166/H166</f>
        <v>3.37092770849676</v>
      </c>
      <c r="J166" s="4" t="n">
        <v>0.0560040648111557</v>
      </c>
      <c r="K166" s="4" t="n">
        <v>0.00411587647906879</v>
      </c>
      <c r="L166" s="6" t="n">
        <v>960</v>
      </c>
      <c r="M166" s="7" t="n">
        <v>71.204</v>
      </c>
      <c r="N166" s="0" t="str">
        <f aca="false">IF(G166&gt;2*H166,"yes","no")</f>
        <v>yes</v>
      </c>
    </row>
    <row r="167" customFormat="false" ht="15" hidden="false" customHeight="false" outlineLevel="0" collapsed="false">
      <c r="A167" s="0" t="s">
        <v>33</v>
      </c>
      <c r="B167" s="0" t="s">
        <v>32</v>
      </c>
      <c r="C167" s="0" t="n">
        <v>40</v>
      </c>
      <c r="D167" s="0" t="n">
        <v>0</v>
      </c>
      <c r="E167" s="0" t="n">
        <v>50</v>
      </c>
      <c r="F167" s="0" t="s">
        <v>29</v>
      </c>
      <c r="G167" s="4" t="n">
        <v>0.00278403818109506</v>
      </c>
      <c r="H167" s="4" t="n">
        <v>0.0043090492791077</v>
      </c>
      <c r="I167" s="5" t="n">
        <f aca="false">G167/H167</f>
        <v>0.64609105182282</v>
      </c>
      <c r="J167" s="4" t="n">
        <v>0.11085463348722</v>
      </c>
      <c r="K167" s="4" t="n">
        <v>0.00434376044865603</v>
      </c>
      <c r="L167" s="6" t="n">
        <v>2000</v>
      </c>
      <c r="M167" s="7" t="n">
        <v>13.956</v>
      </c>
      <c r="N167" s="0" t="str">
        <f aca="false">IF(G167&gt;2*H167,"yes","no")</f>
        <v>no</v>
      </c>
    </row>
    <row r="168" customFormat="false" ht="15" hidden="false" customHeight="false" outlineLevel="0" collapsed="false">
      <c r="A168" s="0" t="s">
        <v>33</v>
      </c>
      <c r="B168" s="0" t="s">
        <v>32</v>
      </c>
      <c r="C168" s="0" t="n">
        <v>40</v>
      </c>
      <c r="D168" s="0" t="n">
        <v>0</v>
      </c>
      <c r="E168" s="0" t="n">
        <v>50</v>
      </c>
      <c r="F168" s="0" t="s">
        <v>30</v>
      </c>
      <c r="G168" s="4" t="n">
        <v>0.00421996921280323</v>
      </c>
      <c r="H168" s="4" t="n">
        <v>0.00383106044329494</v>
      </c>
      <c r="I168" s="5" t="n">
        <f aca="false">G168/H168</f>
        <v>1.10151465247408</v>
      </c>
      <c r="J168" s="4" t="n">
        <v>0.00609171414067347</v>
      </c>
      <c r="K168" s="4" t="n">
        <v>0.00413399333290842</v>
      </c>
      <c r="L168" s="6" t="n">
        <v>4800</v>
      </c>
      <c r="M168" s="7" t="n">
        <v>31.156</v>
      </c>
      <c r="N168" s="0" t="str">
        <f aca="false">IF(G168&gt;2*H168,"yes","no")</f>
        <v>no</v>
      </c>
    </row>
    <row r="169" customFormat="false" ht="15" hidden="false" customHeight="false" outlineLevel="0" collapsed="false">
      <c r="A169" s="0" t="s">
        <v>33</v>
      </c>
      <c r="B169" s="0" t="s">
        <v>32</v>
      </c>
      <c r="C169" s="0" t="n">
        <v>40</v>
      </c>
      <c r="D169" s="0" t="n">
        <v>0</v>
      </c>
      <c r="E169" s="0" t="n">
        <v>50</v>
      </c>
      <c r="F169" s="0" t="s">
        <v>31</v>
      </c>
      <c r="G169" s="4" t="n">
        <v>-0.000637924618574239</v>
      </c>
      <c r="H169" s="4" t="n">
        <v>0.00375827805378093</v>
      </c>
      <c r="I169" s="5" t="n">
        <f aca="false">G169/H169</f>
        <v>-0.169738537022951</v>
      </c>
      <c r="J169" s="4" t="n">
        <v>0.00798052977133801</v>
      </c>
      <c r="K169" s="4" t="n">
        <v>0.00419275252144783</v>
      </c>
      <c r="L169" s="6" t="n">
        <v>2000</v>
      </c>
      <c r="M169" s="7" t="n">
        <v>145.356</v>
      </c>
      <c r="N169" s="0" t="str">
        <f aca="false">IF(G169&gt;2*H169,"yes","no")</f>
        <v>no</v>
      </c>
    </row>
    <row r="170" customFormat="false" ht="15" hidden="false" customHeight="false" outlineLevel="0" collapsed="false">
      <c r="A170" s="0" t="s">
        <v>33</v>
      </c>
      <c r="B170" s="0" t="s">
        <v>32</v>
      </c>
      <c r="C170" s="0" t="n">
        <v>40</v>
      </c>
      <c r="D170" s="0" t="n">
        <v>0</v>
      </c>
      <c r="E170" s="0" t="n">
        <v>100</v>
      </c>
      <c r="F170" s="0" t="s">
        <v>29</v>
      </c>
      <c r="G170" s="4" t="n">
        <v>0.00816467647137044</v>
      </c>
      <c r="H170" s="4" t="n">
        <v>0.00375235351964864</v>
      </c>
      <c r="I170" s="5" t="n">
        <f aca="false">G170/H170</f>
        <v>2.17588146442422</v>
      </c>
      <c r="J170" s="4" t="n">
        <v>0.0224349895190074</v>
      </c>
      <c r="K170" s="4" t="n">
        <v>0.00400562417963348</v>
      </c>
      <c r="L170" s="6" t="n">
        <v>4000</v>
      </c>
      <c r="M170" s="7" t="n">
        <v>25.156</v>
      </c>
      <c r="N170" s="0" t="str">
        <f aca="false">IF(G170&gt;2*H170,"yes","no")</f>
        <v>yes</v>
      </c>
    </row>
    <row r="171" customFormat="false" ht="15" hidden="false" customHeight="false" outlineLevel="0" collapsed="false">
      <c r="A171" s="0" t="s">
        <v>33</v>
      </c>
      <c r="B171" s="0" t="s">
        <v>32</v>
      </c>
      <c r="C171" s="0" t="n">
        <v>40</v>
      </c>
      <c r="D171" s="0" t="n">
        <v>0</v>
      </c>
      <c r="E171" s="0" t="n">
        <v>100</v>
      </c>
      <c r="F171" s="0" t="s">
        <v>30</v>
      </c>
      <c r="G171" s="4" t="n">
        <v>0.00279455992334921</v>
      </c>
      <c r="H171" s="4" t="n">
        <v>0.00384533757206471</v>
      </c>
      <c r="I171" s="5" t="n">
        <f aca="false">G171/H171</f>
        <v>0.726739816980152</v>
      </c>
      <c r="J171" s="4" t="n">
        <v>0.00221138580176911</v>
      </c>
      <c r="K171" s="4" t="n">
        <v>0.00388709333869743</v>
      </c>
      <c r="L171" s="6" t="n">
        <v>9600</v>
      </c>
      <c r="M171" s="7" t="n">
        <v>59.556</v>
      </c>
      <c r="N171" s="0" t="str">
        <f aca="false">IF(G171&gt;2*H171,"yes","no")</f>
        <v>no</v>
      </c>
    </row>
    <row r="172" customFormat="false" ht="15" hidden="false" customHeight="false" outlineLevel="0" collapsed="false">
      <c r="A172" s="0" t="s">
        <v>33</v>
      </c>
      <c r="B172" s="0" t="s">
        <v>32</v>
      </c>
      <c r="C172" s="0" t="n">
        <v>40</v>
      </c>
      <c r="D172" s="0" t="n">
        <v>0</v>
      </c>
      <c r="E172" s="0" t="n">
        <v>100</v>
      </c>
      <c r="F172" s="0" t="s">
        <v>31</v>
      </c>
      <c r="G172" s="4" t="n">
        <v>-0.00301574593007739</v>
      </c>
      <c r="H172" s="4" t="n">
        <v>0.00374906966453133</v>
      </c>
      <c r="I172" s="5" t="n">
        <f aca="false">G172/H172</f>
        <v>-0.804398477469847</v>
      </c>
      <c r="J172" s="4" t="n">
        <v>-0.00416714236785021</v>
      </c>
      <c r="K172" s="4" t="n">
        <v>0.00406169705797558</v>
      </c>
      <c r="L172" s="6" t="n">
        <v>4000</v>
      </c>
      <c r="M172" s="7" t="n">
        <v>287.956</v>
      </c>
      <c r="N172" s="0" t="str">
        <f aca="false">IF(G172&gt;2*H172,"yes","no")</f>
        <v>no</v>
      </c>
    </row>
    <row r="173" customFormat="false" ht="15" hidden="false" customHeight="false" outlineLevel="0" collapsed="false">
      <c r="A173" s="0" t="s">
        <v>33</v>
      </c>
      <c r="B173" s="0" t="s">
        <v>32</v>
      </c>
      <c r="C173" s="0" t="n">
        <v>40</v>
      </c>
      <c r="D173" s="0" t="n">
        <v>0.1</v>
      </c>
      <c r="E173" s="0" t="n">
        <v>24</v>
      </c>
      <c r="F173" s="0" t="s">
        <v>29</v>
      </c>
      <c r="G173" s="4" t="n">
        <v>0.230151982144755</v>
      </c>
      <c r="H173" s="4" t="n">
        <v>0.00621388436284016</v>
      </c>
      <c r="I173" s="5" t="n">
        <f aca="false">G173/H173</f>
        <v>37.038343281876</v>
      </c>
      <c r="J173" s="4" t="n">
        <v>0.309288258239584</v>
      </c>
      <c r="K173" s="4" t="n">
        <v>0.00564237315940522</v>
      </c>
      <c r="L173" s="6" t="n">
        <v>960</v>
      </c>
      <c r="M173" s="7" t="n">
        <v>8.132</v>
      </c>
      <c r="N173" s="0" t="str">
        <f aca="false">IF(G173&gt;2*H173,"yes","no")</f>
        <v>yes</v>
      </c>
    </row>
    <row r="174" customFormat="false" ht="15" hidden="false" customHeight="false" outlineLevel="0" collapsed="false">
      <c r="A174" s="0" t="s">
        <v>33</v>
      </c>
      <c r="B174" s="0" t="s">
        <v>32</v>
      </c>
      <c r="C174" s="0" t="n">
        <v>40</v>
      </c>
      <c r="D174" s="0" t="n">
        <v>0.1</v>
      </c>
      <c r="E174" s="0" t="n">
        <v>24</v>
      </c>
      <c r="F174" s="0" t="s">
        <v>30</v>
      </c>
      <c r="G174" s="4" t="n">
        <v>0.000212590683213308</v>
      </c>
      <c r="H174" s="4" t="n">
        <v>0.00400510377255842</v>
      </c>
      <c r="I174" s="5" t="n">
        <f aca="false">G174/H174</f>
        <v>0.053079943813168</v>
      </c>
      <c r="J174" s="4" t="n">
        <v>0.0337612396086637</v>
      </c>
      <c r="K174" s="4" t="n">
        <v>0.00405091490336311</v>
      </c>
      <c r="L174" s="6" t="n">
        <v>2304</v>
      </c>
      <c r="M174" s="7" t="n">
        <v>16.388</v>
      </c>
      <c r="N174" s="0" t="str">
        <f aca="false">IF(G174&gt;2*H174,"yes","no")</f>
        <v>no</v>
      </c>
    </row>
    <row r="175" customFormat="false" ht="15" hidden="false" customHeight="false" outlineLevel="0" collapsed="false">
      <c r="A175" s="0" t="s">
        <v>33</v>
      </c>
      <c r="B175" s="0" t="s">
        <v>32</v>
      </c>
      <c r="C175" s="0" t="n">
        <v>40</v>
      </c>
      <c r="D175" s="0" t="n">
        <v>0.1</v>
      </c>
      <c r="E175" s="0" t="n">
        <v>24</v>
      </c>
      <c r="F175" s="0" t="s">
        <v>31</v>
      </c>
      <c r="G175" s="4" t="n">
        <v>-0.000319471806613067</v>
      </c>
      <c r="H175" s="4" t="n">
        <v>0.00398864894100901</v>
      </c>
      <c r="I175" s="5" t="n">
        <f aca="false">G175/H175</f>
        <v>-0.0800952431106283</v>
      </c>
      <c r="J175" s="4" t="n">
        <v>0.053760999148453</v>
      </c>
      <c r="K175" s="4" t="n">
        <v>0.00415704685469376</v>
      </c>
      <c r="L175" s="6" t="n">
        <v>960</v>
      </c>
      <c r="M175" s="7" t="n">
        <v>71.204</v>
      </c>
      <c r="N175" s="0" t="str">
        <f aca="false">IF(G175&gt;2*H175,"yes","no")</f>
        <v>no</v>
      </c>
    </row>
    <row r="176" customFormat="false" ht="15" hidden="false" customHeight="false" outlineLevel="0" collapsed="false">
      <c r="A176" s="0" t="s">
        <v>33</v>
      </c>
      <c r="B176" s="0" t="s">
        <v>32</v>
      </c>
      <c r="C176" s="0" t="n">
        <v>40</v>
      </c>
      <c r="D176" s="0" t="n">
        <v>0.1</v>
      </c>
      <c r="E176" s="0" t="n">
        <v>50</v>
      </c>
      <c r="F176" s="0" t="s">
        <v>29</v>
      </c>
      <c r="G176" s="4" t="n">
        <v>0.0122429510281959</v>
      </c>
      <c r="H176" s="4" t="n">
        <v>0.00412079978591489</v>
      </c>
      <c r="I176" s="5" t="n">
        <f aca="false">G176/H176</f>
        <v>2.97101331397923</v>
      </c>
      <c r="J176" s="4" t="n">
        <v>0.0906738665766678</v>
      </c>
      <c r="K176" s="4" t="n">
        <v>0.00414596908573127</v>
      </c>
      <c r="L176" s="6" t="n">
        <v>2000</v>
      </c>
      <c r="M176" s="7" t="n">
        <v>13.956</v>
      </c>
      <c r="N176" s="0" t="str">
        <f aca="false">IF(G176&gt;2*H176,"yes","no")</f>
        <v>yes</v>
      </c>
    </row>
    <row r="177" customFormat="false" ht="15" hidden="false" customHeight="false" outlineLevel="0" collapsed="false">
      <c r="A177" s="0" t="s">
        <v>33</v>
      </c>
      <c r="B177" s="0" t="s">
        <v>32</v>
      </c>
      <c r="C177" s="0" t="n">
        <v>40</v>
      </c>
      <c r="D177" s="0" t="n">
        <v>0.1</v>
      </c>
      <c r="E177" s="0" t="n">
        <v>50</v>
      </c>
      <c r="F177" s="0" t="s">
        <v>30</v>
      </c>
      <c r="G177" s="4" t="n">
        <v>0.000185430463576159</v>
      </c>
      <c r="H177" s="4" t="n">
        <v>0.00378968768773061</v>
      </c>
      <c r="I177" s="5" t="n">
        <f aca="false">G177/H177</f>
        <v>0.0489302757524067</v>
      </c>
      <c r="J177" s="4" t="n">
        <v>-0.00219236606891899</v>
      </c>
      <c r="K177" s="4" t="n">
        <v>0.00406539228015819</v>
      </c>
      <c r="L177" s="6" t="n">
        <v>4800</v>
      </c>
      <c r="M177" s="7" t="n">
        <v>31.156</v>
      </c>
      <c r="N177" s="0" t="str">
        <f aca="false">IF(G177&gt;2*H177,"yes","no")</f>
        <v>no</v>
      </c>
    </row>
    <row r="178" customFormat="false" ht="15" hidden="false" customHeight="false" outlineLevel="0" collapsed="false">
      <c r="A178" s="0" t="s">
        <v>33</v>
      </c>
      <c r="B178" s="0" t="s">
        <v>32</v>
      </c>
      <c r="C178" s="0" t="n">
        <v>40</v>
      </c>
      <c r="D178" s="0" t="n">
        <v>0.1</v>
      </c>
      <c r="E178" s="0" t="n">
        <v>50</v>
      </c>
      <c r="F178" s="0" t="s">
        <v>31</v>
      </c>
      <c r="G178" s="4" t="n">
        <v>-0.000318699705202773</v>
      </c>
      <c r="H178" s="4" t="n">
        <v>0.00380167406650955</v>
      </c>
      <c r="I178" s="5" t="n">
        <f aca="false">G178/H178</f>
        <v>-0.0838314120640496</v>
      </c>
      <c r="J178" s="4" t="n">
        <v>0.0106172700062122</v>
      </c>
      <c r="K178" s="4" t="n">
        <v>0.00406544587403048</v>
      </c>
      <c r="L178" s="6" t="n">
        <v>2000</v>
      </c>
      <c r="M178" s="7" t="n">
        <v>145.356</v>
      </c>
      <c r="N178" s="0" t="str">
        <f aca="false">IF(G178&gt;2*H178,"yes","no")</f>
        <v>no</v>
      </c>
    </row>
    <row r="179" customFormat="false" ht="15" hidden="false" customHeight="false" outlineLevel="0" collapsed="false">
      <c r="A179" s="0" t="s">
        <v>33</v>
      </c>
      <c r="B179" s="0" t="s">
        <v>32</v>
      </c>
      <c r="C179" s="0" t="n">
        <v>40</v>
      </c>
      <c r="D179" s="0" t="n">
        <v>0.1</v>
      </c>
      <c r="E179" s="0" t="n">
        <v>100</v>
      </c>
      <c r="F179" s="0" t="s">
        <v>29</v>
      </c>
      <c r="G179" s="4" t="n">
        <v>-0.000665548545110881</v>
      </c>
      <c r="H179" s="4" t="n">
        <v>0.00387588152369357</v>
      </c>
      <c r="I179" s="5" t="n">
        <f aca="false">G179/H179</f>
        <v>-0.171715399720639</v>
      </c>
      <c r="J179" s="4" t="n">
        <v>0.0265054770418298</v>
      </c>
      <c r="K179" s="4" t="n">
        <v>0.00407967360874088</v>
      </c>
      <c r="L179" s="6" t="n">
        <v>4000</v>
      </c>
      <c r="M179" s="7" t="n">
        <v>25.156</v>
      </c>
      <c r="N179" s="0" t="str">
        <f aca="false">IF(G179&gt;2*H179,"yes","no")</f>
        <v>no</v>
      </c>
    </row>
    <row r="180" customFormat="false" ht="15" hidden="false" customHeight="false" outlineLevel="0" collapsed="false">
      <c r="A180" s="0" t="s">
        <v>33</v>
      </c>
      <c r="B180" s="0" t="s">
        <v>32</v>
      </c>
      <c r="C180" s="0" t="n">
        <v>40</v>
      </c>
      <c r="D180" s="0" t="n">
        <v>0.1</v>
      </c>
      <c r="E180" s="0" t="n">
        <v>100</v>
      </c>
      <c r="F180" s="0" t="s">
        <v>30</v>
      </c>
      <c r="G180" s="4" t="n">
        <v>0.00816684844776675</v>
      </c>
      <c r="H180" s="4" t="n">
        <v>0.00368957479028421</v>
      </c>
      <c r="I180" s="5" t="n">
        <f aca="false">G180/H180</f>
        <v>2.21349312914664</v>
      </c>
      <c r="J180" s="4" t="n">
        <v>-0.00628895184135977</v>
      </c>
      <c r="K180" s="4" t="n">
        <v>0.0040082593797622</v>
      </c>
      <c r="L180" s="6" t="n">
        <v>9600</v>
      </c>
      <c r="M180" s="7" t="n">
        <v>59.556</v>
      </c>
      <c r="N180" s="0" t="str">
        <f aca="false">IF(G180&gt;2*H180,"yes","no")</f>
        <v>yes</v>
      </c>
    </row>
    <row r="181" customFormat="false" ht="15" hidden="false" customHeight="false" outlineLevel="0" collapsed="false">
      <c r="A181" s="0" t="s">
        <v>33</v>
      </c>
      <c r="B181" s="0" t="s">
        <v>32</v>
      </c>
      <c r="C181" s="0" t="n">
        <v>40</v>
      </c>
      <c r="D181" s="0" t="n">
        <v>0.1</v>
      </c>
      <c r="E181" s="0" t="n">
        <v>100</v>
      </c>
      <c r="F181" s="0" t="s">
        <v>31</v>
      </c>
      <c r="G181" s="4" t="n">
        <v>-0.00488273433122549</v>
      </c>
      <c r="H181" s="4" t="n">
        <v>0.00374824389838224</v>
      </c>
      <c r="I181" s="5" t="n">
        <f aca="false">G181/H181</f>
        <v>-1.30267252174622</v>
      </c>
      <c r="J181" s="4" t="n">
        <v>-0.00182408938037964</v>
      </c>
      <c r="K181" s="4" t="n">
        <v>0.00407020393440927</v>
      </c>
      <c r="L181" s="6" t="n">
        <v>4000</v>
      </c>
      <c r="M181" s="7" t="n">
        <v>287.956</v>
      </c>
      <c r="N181" s="0" t="str">
        <f aca="false">IF(G181&gt;2*H181,"yes","no")</f>
        <v>no</v>
      </c>
    </row>
    <row r="182" customFormat="false" ht="15" hidden="false" customHeight="false" outlineLevel="0" collapsed="false">
      <c r="A182" s="0" t="s">
        <v>33</v>
      </c>
      <c r="B182" s="0" t="s">
        <v>32</v>
      </c>
      <c r="C182" s="0" t="n">
        <v>40</v>
      </c>
      <c r="D182" s="0" t="n">
        <v>0.3</v>
      </c>
      <c r="E182" s="0" t="n">
        <v>24</v>
      </c>
      <c r="F182" s="0" t="s">
        <v>29</v>
      </c>
      <c r="G182" s="4" t="n">
        <v>0.22918766912506</v>
      </c>
      <c r="H182" s="4" t="n">
        <v>0.00582409131311944</v>
      </c>
      <c r="I182" s="5" t="n">
        <f aca="false">G182/H182</f>
        <v>39.3516613671197</v>
      </c>
      <c r="J182" s="4" t="n">
        <v>0.25946585530764</v>
      </c>
      <c r="K182" s="4" t="n">
        <v>0.00543132119389086</v>
      </c>
      <c r="L182" s="6" t="n">
        <v>960</v>
      </c>
      <c r="M182" s="7" t="n">
        <v>8.132</v>
      </c>
      <c r="N182" s="0" t="str">
        <f aca="false">IF(G182&gt;2*H182,"yes","no")</f>
        <v>yes</v>
      </c>
    </row>
    <row r="183" customFormat="false" ht="15" hidden="false" customHeight="false" outlineLevel="0" collapsed="false">
      <c r="A183" s="0" t="s">
        <v>33</v>
      </c>
      <c r="B183" s="0" t="s">
        <v>32</v>
      </c>
      <c r="C183" s="0" t="n">
        <v>40</v>
      </c>
      <c r="D183" s="0" t="n">
        <v>0.3</v>
      </c>
      <c r="E183" s="0" t="n">
        <v>24</v>
      </c>
      <c r="F183" s="0" t="s">
        <v>30</v>
      </c>
      <c r="G183" s="4" t="n">
        <v>0.00416500862183314</v>
      </c>
      <c r="H183" s="4" t="n">
        <v>0.00389351158187437</v>
      </c>
      <c r="I183" s="5" t="n">
        <f aca="false">G183/H183</f>
        <v>1.06973063627772</v>
      </c>
      <c r="J183" s="4" t="n">
        <v>0.0195050453802356</v>
      </c>
      <c r="K183" s="4" t="n">
        <v>0.00403522391605418</v>
      </c>
      <c r="L183" s="6" t="n">
        <v>2304</v>
      </c>
      <c r="M183" s="7" t="n">
        <v>16.388</v>
      </c>
      <c r="N183" s="0" t="str">
        <f aca="false">IF(G183&gt;2*H183,"yes","no")</f>
        <v>no</v>
      </c>
    </row>
    <row r="184" customFormat="false" ht="15" hidden="false" customHeight="false" outlineLevel="0" collapsed="false">
      <c r="A184" s="0" t="s">
        <v>33</v>
      </c>
      <c r="B184" s="0" t="s">
        <v>32</v>
      </c>
      <c r="C184" s="0" t="n">
        <v>40</v>
      </c>
      <c r="D184" s="0" t="n">
        <v>0.3</v>
      </c>
      <c r="E184" s="0" t="n">
        <v>24</v>
      </c>
      <c r="F184" s="0" t="s">
        <v>31</v>
      </c>
      <c r="G184" s="4" t="n">
        <v>0.0136524210470398</v>
      </c>
      <c r="H184" s="4" t="n">
        <v>0.00381041428447125</v>
      </c>
      <c r="I184" s="5" t="n">
        <f aca="false">G184/H184</f>
        <v>3.58292301776163</v>
      </c>
      <c r="J184" s="4" t="n">
        <v>0.0372923494180133</v>
      </c>
      <c r="K184" s="4" t="n">
        <v>0.00408352205906615</v>
      </c>
      <c r="L184" s="6" t="n">
        <v>960</v>
      </c>
      <c r="M184" s="7" t="n">
        <v>71.204</v>
      </c>
      <c r="N184" s="0" t="str">
        <f aca="false">IF(G184&gt;2*H184,"yes","no")</f>
        <v>yes</v>
      </c>
    </row>
    <row r="185" customFormat="false" ht="15" hidden="false" customHeight="false" outlineLevel="0" collapsed="false">
      <c r="A185" s="0" t="s">
        <v>33</v>
      </c>
      <c r="B185" s="0" t="s">
        <v>32</v>
      </c>
      <c r="C185" s="0" t="n">
        <v>40</v>
      </c>
      <c r="D185" s="0" t="n">
        <v>0.3</v>
      </c>
      <c r="E185" s="0" t="n">
        <v>50</v>
      </c>
      <c r="F185" s="0" t="s">
        <v>29</v>
      </c>
      <c r="G185" s="4" t="n">
        <v>0.00813029661016949</v>
      </c>
      <c r="H185" s="4" t="n">
        <v>0.0039714508939453</v>
      </c>
      <c r="I185" s="5" t="n">
        <f aca="false">G185/H185</f>
        <v>2.04718548139789</v>
      </c>
      <c r="J185" s="4" t="n">
        <v>0.045985401459854</v>
      </c>
      <c r="K185" s="4" t="n">
        <v>0.00411997121448691</v>
      </c>
      <c r="L185" s="6" t="n">
        <v>2000</v>
      </c>
      <c r="M185" s="7" t="n">
        <v>13.956</v>
      </c>
      <c r="N185" s="0" t="str">
        <f aca="false">IF(G185&gt;2*H185,"yes","no")</f>
        <v>yes</v>
      </c>
    </row>
    <row r="186" customFormat="false" ht="15" hidden="false" customHeight="false" outlineLevel="0" collapsed="false">
      <c r="A186" s="0" t="s">
        <v>33</v>
      </c>
      <c r="B186" s="0" t="s">
        <v>32</v>
      </c>
      <c r="C186" s="0" t="n">
        <v>40</v>
      </c>
      <c r="D186" s="0" t="n">
        <v>0.3</v>
      </c>
      <c r="E186" s="0" t="n">
        <v>50</v>
      </c>
      <c r="F186" s="0" t="s">
        <v>30</v>
      </c>
      <c r="G186" s="4" t="n">
        <v>-0.000317796610169492</v>
      </c>
      <c r="H186" s="4" t="n">
        <v>0.00377945944512605</v>
      </c>
      <c r="I186" s="5" t="n">
        <f aca="false">G186/H186</f>
        <v>-0.0840852018082424</v>
      </c>
      <c r="J186" s="4" t="n">
        <v>-0.00331181588548976</v>
      </c>
      <c r="K186" s="4" t="n">
        <v>0.0040025077833845</v>
      </c>
      <c r="L186" s="6" t="n">
        <v>4800</v>
      </c>
      <c r="M186" s="7" t="n">
        <v>31.156</v>
      </c>
      <c r="N186" s="0" t="str">
        <f aca="false">IF(G186&gt;2*H186,"yes","no")</f>
        <v>no</v>
      </c>
    </row>
    <row r="187" customFormat="false" ht="15" hidden="false" customHeight="false" outlineLevel="0" collapsed="false">
      <c r="A187" s="0" t="s">
        <v>33</v>
      </c>
      <c r="B187" s="0" t="s">
        <v>32</v>
      </c>
      <c r="C187" s="0" t="n">
        <v>40</v>
      </c>
      <c r="D187" s="0" t="n">
        <v>0.3</v>
      </c>
      <c r="E187" s="0" t="n">
        <v>50</v>
      </c>
      <c r="F187" s="0" t="s">
        <v>31</v>
      </c>
      <c r="G187" s="4" t="n">
        <v>-0.00013290802764487</v>
      </c>
      <c r="H187" s="4" t="n">
        <v>0.00383456717376916</v>
      </c>
      <c r="I187" s="5" t="n">
        <f aca="false">G187/H187</f>
        <v>-0.0346605031603161</v>
      </c>
      <c r="J187" s="4" t="n">
        <v>0.00361929536843296</v>
      </c>
      <c r="K187" s="4" t="n">
        <v>0.0039612422826884</v>
      </c>
      <c r="L187" s="6" t="n">
        <v>2000</v>
      </c>
      <c r="M187" s="7" t="n">
        <v>145.356</v>
      </c>
      <c r="N187" s="0" t="str">
        <f aca="false">IF(G187&gt;2*H187,"yes","no")</f>
        <v>no</v>
      </c>
    </row>
    <row r="188" customFormat="false" ht="15" hidden="false" customHeight="false" outlineLevel="0" collapsed="false">
      <c r="A188" s="0" t="s">
        <v>33</v>
      </c>
      <c r="B188" s="0" t="s">
        <v>32</v>
      </c>
      <c r="C188" s="0" t="n">
        <v>40</v>
      </c>
      <c r="D188" s="0" t="n">
        <v>0.3</v>
      </c>
      <c r="E188" s="0" t="n">
        <v>100</v>
      </c>
      <c r="F188" s="0" t="s">
        <v>29</v>
      </c>
      <c r="G188" s="4" t="n">
        <v>0.00276823977215257</v>
      </c>
      <c r="H188" s="4" t="n">
        <v>0.00381160421051102</v>
      </c>
      <c r="I188" s="5" t="n">
        <f aca="false">G188/H188</f>
        <v>0.726266322331887</v>
      </c>
      <c r="J188" s="4" t="n">
        <v>0.00170222423967317</v>
      </c>
      <c r="K188" s="4" t="n">
        <v>0.00402476310032981</v>
      </c>
      <c r="L188" s="6" t="n">
        <v>4000</v>
      </c>
      <c r="M188" s="7" t="n">
        <v>25.156</v>
      </c>
      <c r="N188" s="0" t="str">
        <f aca="false">IF(G188&gt;2*H188,"yes","no")</f>
        <v>no</v>
      </c>
    </row>
    <row r="189" customFormat="false" ht="15" hidden="false" customHeight="false" outlineLevel="0" collapsed="false">
      <c r="A189" s="0" t="s">
        <v>33</v>
      </c>
      <c r="B189" s="0" t="s">
        <v>32</v>
      </c>
      <c r="C189" s="0" t="n">
        <v>40</v>
      </c>
      <c r="D189" s="0" t="n">
        <v>0.3</v>
      </c>
      <c r="E189" s="0" t="n">
        <v>100</v>
      </c>
      <c r="F189" s="0" t="s">
        <v>30</v>
      </c>
      <c r="G189" s="4" t="n">
        <v>5.3144846278532E-005</v>
      </c>
      <c r="H189" s="4" t="n">
        <v>0.00382542183191221</v>
      </c>
      <c r="I189" s="5" t="n">
        <f aca="false">G189/H189</f>
        <v>0.0138925453489051</v>
      </c>
      <c r="J189" s="4" t="n">
        <v>0.00129987566406692</v>
      </c>
      <c r="K189" s="4" t="n">
        <v>0.00395671025060728</v>
      </c>
      <c r="L189" s="6" t="n">
        <v>9600</v>
      </c>
      <c r="M189" s="7" t="n">
        <v>59.556</v>
      </c>
      <c r="N189" s="0" t="str">
        <f aca="false">IF(G189&gt;2*H189,"yes","no")</f>
        <v>no</v>
      </c>
    </row>
    <row r="190" customFormat="false" ht="15" hidden="false" customHeight="false" outlineLevel="0" collapsed="false">
      <c r="A190" s="0" t="s">
        <v>33</v>
      </c>
      <c r="B190" s="0" t="s">
        <v>32</v>
      </c>
      <c r="C190" s="0" t="n">
        <v>40</v>
      </c>
      <c r="D190" s="0" t="n">
        <v>0.3</v>
      </c>
      <c r="E190" s="0" t="n">
        <v>100</v>
      </c>
      <c r="F190" s="0" t="s">
        <v>31</v>
      </c>
      <c r="G190" s="4" t="n">
        <v>-0.0026366251198466</v>
      </c>
      <c r="H190" s="4" t="n">
        <v>0.00372652540939377</v>
      </c>
      <c r="I190" s="5" t="n">
        <f aca="false">G190/H190</f>
        <v>-0.707529086800329</v>
      </c>
      <c r="J190" s="4" t="n">
        <v>-0.00749872180878259</v>
      </c>
      <c r="K190" s="4" t="n">
        <v>0.00408796740887298</v>
      </c>
      <c r="L190" s="6" t="n">
        <v>4000</v>
      </c>
      <c r="M190" s="7" t="n">
        <v>287.956</v>
      </c>
      <c r="N190" s="0" t="str">
        <f aca="false">IF(G190&gt;2*H190,"yes","no")</f>
        <v>no</v>
      </c>
    </row>
    <row r="191" customFormat="false" ht="15" hidden="false" customHeight="false" outlineLevel="0" collapsed="false">
      <c r="A191" s="0" t="s">
        <v>33</v>
      </c>
      <c r="B191" s="0" t="s">
        <v>32</v>
      </c>
      <c r="C191" s="0" t="n">
        <v>72</v>
      </c>
      <c r="D191" s="0" t="n">
        <v>0</v>
      </c>
      <c r="E191" s="0" t="n">
        <v>24</v>
      </c>
      <c r="F191" s="0" t="s">
        <v>29</v>
      </c>
      <c r="G191" s="4" t="n">
        <v>0.206701685011952</v>
      </c>
      <c r="H191" s="4" t="n">
        <v>0.00481683351761642</v>
      </c>
      <c r="I191" s="5" t="n">
        <f aca="false">G191/H191</f>
        <v>42.9123581406726</v>
      </c>
      <c r="J191" s="4" t="n">
        <v>0.307844243792325</v>
      </c>
      <c r="K191" s="4" t="n">
        <v>0.00414905557301505</v>
      </c>
      <c r="L191" s="6" t="n">
        <v>1728</v>
      </c>
      <c r="M191" s="7" t="n">
        <v>8.132</v>
      </c>
      <c r="N191" s="0" t="str">
        <f aca="false">IF(G191&gt;2*H191,"yes","no")</f>
        <v>yes</v>
      </c>
    </row>
    <row r="192" customFormat="false" ht="15" hidden="false" customHeight="false" outlineLevel="0" collapsed="false">
      <c r="A192" s="0" t="s">
        <v>33</v>
      </c>
      <c r="B192" s="0" t="s">
        <v>32</v>
      </c>
      <c r="C192" s="0" t="n">
        <v>72</v>
      </c>
      <c r="D192" s="0" t="n">
        <v>0</v>
      </c>
      <c r="E192" s="0" t="n">
        <v>24</v>
      </c>
      <c r="F192" s="0" t="s">
        <v>30</v>
      </c>
      <c r="G192" s="4" t="n">
        <v>0.00182858491122515</v>
      </c>
      <c r="H192" s="4" t="n">
        <v>0.00294419145748715</v>
      </c>
      <c r="I192" s="5" t="n">
        <f aca="false">G192/H192</f>
        <v>0.621082201218613</v>
      </c>
      <c r="J192" s="4" t="n">
        <v>0.0525409399755769</v>
      </c>
      <c r="K192" s="4" t="n">
        <v>0.00300107547954936</v>
      </c>
      <c r="L192" s="6" t="n">
        <v>4224</v>
      </c>
      <c r="M192" s="7" t="n">
        <v>16.004</v>
      </c>
      <c r="N192" s="0" t="str">
        <f aca="false">IF(G192&gt;2*H192,"yes","no")</f>
        <v>no</v>
      </c>
    </row>
    <row r="193" customFormat="false" ht="15" hidden="false" customHeight="false" outlineLevel="0" collapsed="false">
      <c r="A193" s="0" t="s">
        <v>33</v>
      </c>
      <c r="B193" s="0" t="s">
        <v>32</v>
      </c>
      <c r="C193" s="0" t="n">
        <v>72</v>
      </c>
      <c r="D193" s="0" t="n">
        <v>0</v>
      </c>
      <c r="E193" s="0" t="n">
        <v>24</v>
      </c>
      <c r="F193" s="0" t="s">
        <v>31</v>
      </c>
      <c r="G193" s="4" t="n">
        <v>0.00241141008675195</v>
      </c>
      <c r="H193" s="4" t="n">
        <v>0.00284780232958687</v>
      </c>
      <c r="I193" s="5" t="n">
        <f aca="false">G193/H193</f>
        <v>0.846761750876779</v>
      </c>
      <c r="J193" s="4" t="n">
        <v>0.0160094686351461</v>
      </c>
      <c r="K193" s="4" t="n">
        <v>0.00298952021235375</v>
      </c>
      <c r="L193" s="6" t="n">
        <v>1728</v>
      </c>
      <c r="M193" s="7" t="n">
        <v>124.1</v>
      </c>
      <c r="N193" s="0" t="str">
        <f aca="false">IF(G193&gt;2*H193,"yes","no")</f>
        <v>no</v>
      </c>
    </row>
    <row r="194" customFormat="false" ht="15" hidden="false" customHeight="false" outlineLevel="0" collapsed="false">
      <c r="A194" s="0" t="s">
        <v>33</v>
      </c>
      <c r="B194" s="0" t="s">
        <v>32</v>
      </c>
      <c r="C194" s="0" t="n">
        <v>72</v>
      </c>
      <c r="D194" s="0" t="n">
        <v>0</v>
      </c>
      <c r="E194" s="0" t="n">
        <v>50</v>
      </c>
      <c r="F194" s="0" t="s">
        <v>29</v>
      </c>
      <c r="G194" s="4" t="n">
        <v>0.00199206126695097</v>
      </c>
      <c r="H194" s="4" t="n">
        <v>0.00328470029816766</v>
      </c>
      <c r="I194" s="5" t="n">
        <f aca="false">G194/H194</f>
        <v>0.606466674619362</v>
      </c>
      <c r="J194" s="4" t="n">
        <v>0.1258934169279</v>
      </c>
      <c r="K194" s="4" t="n">
        <v>0.00319052791363848</v>
      </c>
      <c r="L194" s="6" t="n">
        <v>3600</v>
      </c>
      <c r="M194" s="7" t="n">
        <v>13.956</v>
      </c>
      <c r="N194" s="0" t="str">
        <f aca="false">IF(G194&gt;2*H194,"yes","no")</f>
        <v>no</v>
      </c>
    </row>
    <row r="195" customFormat="false" ht="15" hidden="false" customHeight="false" outlineLevel="0" collapsed="false">
      <c r="A195" s="0" t="s">
        <v>33</v>
      </c>
      <c r="B195" s="0" t="s">
        <v>32</v>
      </c>
      <c r="C195" s="0" t="n">
        <v>72</v>
      </c>
      <c r="D195" s="0" t="n">
        <v>0</v>
      </c>
      <c r="E195" s="0" t="n">
        <v>50</v>
      </c>
      <c r="F195" s="0" t="s">
        <v>30</v>
      </c>
      <c r="G195" s="4" t="n">
        <v>-0.000545143800094295</v>
      </c>
      <c r="H195" s="4" t="n">
        <v>0.00281187090108266</v>
      </c>
      <c r="I195" s="5" t="n">
        <f aca="false">G195/H195</f>
        <v>-0.193872271975359</v>
      </c>
      <c r="J195" s="4" t="n">
        <v>0.00611888111888112</v>
      </c>
      <c r="K195" s="4" t="n">
        <v>0.00291986881666117</v>
      </c>
      <c r="L195" s="6" t="n">
        <v>8800</v>
      </c>
      <c r="M195" s="7" t="n">
        <v>30.356</v>
      </c>
      <c r="N195" s="0" t="str">
        <f aca="false">IF(G195&gt;2*H195,"yes","no")</f>
        <v>no</v>
      </c>
    </row>
    <row r="196" customFormat="false" ht="15" hidden="false" customHeight="false" outlineLevel="0" collapsed="false">
      <c r="A196" s="0" t="s">
        <v>33</v>
      </c>
      <c r="B196" s="0" t="s">
        <v>32</v>
      </c>
      <c r="C196" s="0" t="n">
        <v>72</v>
      </c>
      <c r="D196" s="0" t="n">
        <v>0</v>
      </c>
      <c r="E196" s="0" t="n">
        <v>50</v>
      </c>
      <c r="F196" s="0" t="s">
        <v>31</v>
      </c>
      <c r="G196" s="4" t="n">
        <v>-0.0024975024975025</v>
      </c>
      <c r="H196" s="4" t="n">
        <v>0.00278802235916483</v>
      </c>
      <c r="I196" s="5" t="n">
        <f aca="false">G196/H196</f>
        <v>-0.895797155030937</v>
      </c>
      <c r="J196" s="4" t="n">
        <v>0.00372960372960373</v>
      </c>
      <c r="K196" s="4" t="n">
        <v>0.00294868992171069</v>
      </c>
      <c r="L196" s="6" t="n">
        <v>3600</v>
      </c>
      <c r="M196" s="7" t="n">
        <v>255.556</v>
      </c>
      <c r="N196" s="0" t="str">
        <f aca="false">IF(G196&gt;2*H196,"yes","no")</f>
        <v>no</v>
      </c>
    </row>
    <row r="197" customFormat="false" ht="15" hidden="false" customHeight="false" outlineLevel="0" collapsed="false">
      <c r="A197" s="0" t="s">
        <v>33</v>
      </c>
      <c r="B197" s="0" t="s">
        <v>32</v>
      </c>
      <c r="C197" s="0" t="n">
        <v>72</v>
      </c>
      <c r="D197" s="0" t="n">
        <v>0</v>
      </c>
      <c r="E197" s="0" t="n">
        <v>100</v>
      </c>
      <c r="F197" s="0" t="s">
        <v>29</v>
      </c>
      <c r="G197" s="4" t="n">
        <v>-0.00566040524363389</v>
      </c>
      <c r="H197" s="4" t="n">
        <v>0.00292793676726057</v>
      </c>
      <c r="I197" s="5" t="n">
        <f aca="false">G197/H197</f>
        <v>-1.9332402621966</v>
      </c>
      <c r="J197" s="4" t="n">
        <v>0.0413519637462236</v>
      </c>
      <c r="K197" s="4" t="n">
        <v>0.00302757368611972</v>
      </c>
      <c r="L197" s="6" t="n">
        <v>7200</v>
      </c>
      <c r="M197" s="7" t="n">
        <v>25.156</v>
      </c>
      <c r="N197" s="0" t="str">
        <f aca="false">IF(G197&gt;2*H197,"yes","no")</f>
        <v>no</v>
      </c>
    </row>
    <row r="198" customFormat="false" ht="15" hidden="false" customHeight="false" outlineLevel="0" collapsed="false">
      <c r="A198" s="0" t="s">
        <v>33</v>
      </c>
      <c r="B198" s="0" t="s">
        <v>32</v>
      </c>
      <c r="C198" s="0" t="n">
        <v>72</v>
      </c>
      <c r="D198" s="0" t="n">
        <v>0</v>
      </c>
      <c r="E198" s="0" t="n">
        <v>100</v>
      </c>
      <c r="F198" s="0" t="s">
        <v>30</v>
      </c>
      <c r="G198" s="4" t="n">
        <v>0.000650512278419255</v>
      </c>
      <c r="H198" s="4" t="n">
        <v>0.00283211705771175</v>
      </c>
      <c r="I198" s="5" t="n">
        <f aca="false">G198/H198</f>
        <v>0.229691169243141</v>
      </c>
      <c r="J198" s="4" t="n">
        <v>0.000251556505880134</v>
      </c>
      <c r="K198" s="4" t="n">
        <v>0.00298186746372284</v>
      </c>
      <c r="L198" s="6" t="n">
        <v>17600</v>
      </c>
      <c r="M198" s="7" t="n">
        <v>57.956</v>
      </c>
      <c r="N198" s="0" t="str">
        <f aca="false">IF(G198&gt;2*H198,"yes","no")</f>
        <v>no</v>
      </c>
    </row>
    <row r="199" customFormat="false" ht="15" hidden="false" customHeight="false" outlineLevel="0" collapsed="false">
      <c r="A199" s="0" t="s">
        <v>33</v>
      </c>
      <c r="B199" s="0" t="s">
        <v>32</v>
      </c>
      <c r="C199" s="0" t="n">
        <v>72</v>
      </c>
      <c r="D199" s="0" t="n">
        <v>0</v>
      </c>
      <c r="E199" s="0" t="n">
        <v>100</v>
      </c>
      <c r="F199" s="0" t="s">
        <v>31</v>
      </c>
      <c r="G199" s="4" t="n">
        <v>-0.00306798235910144</v>
      </c>
      <c r="H199" s="4" t="n">
        <v>0.00284850834175084</v>
      </c>
      <c r="I199" s="5" t="n">
        <f aca="false">G199/H199</f>
        <v>-1.07704875359982</v>
      </c>
      <c r="J199" s="4" t="n">
        <v>3.13243954391681E-005</v>
      </c>
      <c r="K199" s="4" t="n">
        <v>0.00295970171551963</v>
      </c>
      <c r="L199" s="6" t="n">
        <v>7200</v>
      </c>
      <c r="M199" s="7" t="n">
        <v>508.356</v>
      </c>
      <c r="N199" s="0" t="str">
        <f aca="false">IF(G199&gt;2*H199,"yes","no")</f>
        <v>no</v>
      </c>
    </row>
    <row r="200" customFormat="false" ht="15" hidden="false" customHeight="false" outlineLevel="0" collapsed="false">
      <c r="A200" s="0" t="s">
        <v>33</v>
      </c>
      <c r="B200" s="0" t="s">
        <v>32</v>
      </c>
      <c r="C200" s="0" t="n">
        <v>72</v>
      </c>
      <c r="D200" s="0" t="n">
        <v>0.1</v>
      </c>
      <c r="E200" s="0" t="n">
        <v>24</v>
      </c>
      <c r="F200" s="0" t="s">
        <v>29</v>
      </c>
      <c r="G200" s="4" t="n">
        <v>0.215102704300281</v>
      </c>
      <c r="H200" s="4" t="n">
        <v>0.00447900690792647</v>
      </c>
      <c r="I200" s="5" t="n">
        <f aca="false">G200/H200</f>
        <v>48.0246422303157</v>
      </c>
      <c r="J200" s="4" t="n">
        <v>0.294676566826076</v>
      </c>
      <c r="K200" s="4" t="n">
        <v>0.00402052168622326</v>
      </c>
      <c r="L200" s="6" t="n">
        <v>1728</v>
      </c>
      <c r="M200" s="7" t="n">
        <v>8.132</v>
      </c>
      <c r="N200" s="0" t="str">
        <f aca="false">IF(G200&gt;2*H200,"yes","no")</f>
        <v>yes</v>
      </c>
    </row>
    <row r="201" customFormat="false" ht="15" hidden="false" customHeight="false" outlineLevel="0" collapsed="false">
      <c r="A201" s="0" t="s">
        <v>33</v>
      </c>
      <c r="B201" s="0" t="s">
        <v>32</v>
      </c>
      <c r="C201" s="0" t="n">
        <v>72</v>
      </c>
      <c r="D201" s="0" t="n">
        <v>0.1</v>
      </c>
      <c r="E201" s="0" t="n">
        <v>24</v>
      </c>
      <c r="F201" s="0" t="s">
        <v>30</v>
      </c>
      <c r="G201" s="4" t="n">
        <v>0.00425777265268107</v>
      </c>
      <c r="H201" s="4" t="n">
        <v>0.00288710634087494</v>
      </c>
      <c r="I201" s="5" t="n">
        <f aca="false">G201/H201</f>
        <v>1.47475435608331</v>
      </c>
      <c r="J201" s="4" t="n">
        <v>0.0438025110922307</v>
      </c>
      <c r="K201" s="4" t="n">
        <v>0.00306776010632928</v>
      </c>
      <c r="L201" s="6" t="n">
        <v>4224</v>
      </c>
      <c r="M201" s="7" t="n">
        <v>16.004</v>
      </c>
      <c r="N201" s="0" t="str">
        <f aca="false">IF(G201&gt;2*H201,"yes","no")</f>
        <v>no</v>
      </c>
    </row>
    <row r="202" customFormat="false" ht="15" hidden="false" customHeight="false" outlineLevel="0" collapsed="false">
      <c r="A202" s="0" t="s">
        <v>33</v>
      </c>
      <c r="B202" s="0" t="s">
        <v>32</v>
      </c>
      <c r="C202" s="0" t="n">
        <v>72</v>
      </c>
      <c r="D202" s="0" t="n">
        <v>0.1</v>
      </c>
      <c r="E202" s="0" t="n">
        <v>24</v>
      </c>
      <c r="F202" s="0" t="s">
        <v>31</v>
      </c>
      <c r="G202" s="4" t="n">
        <v>0.0018355898851655</v>
      </c>
      <c r="H202" s="4" t="n">
        <v>0.00286647496300873</v>
      </c>
      <c r="I202" s="5" t="n">
        <f aca="false">G202/H202</f>
        <v>0.640364876321408</v>
      </c>
      <c r="J202" s="4" t="n">
        <v>0.0189757445883413</v>
      </c>
      <c r="K202" s="4" t="n">
        <v>0.00297411014781732</v>
      </c>
      <c r="L202" s="6" t="n">
        <v>1728</v>
      </c>
      <c r="M202" s="7" t="n">
        <v>124.1</v>
      </c>
      <c r="N202" s="0" t="str">
        <f aca="false">IF(G202&gt;2*H202,"yes","no")</f>
        <v>no</v>
      </c>
    </row>
    <row r="203" customFormat="false" ht="15" hidden="false" customHeight="false" outlineLevel="0" collapsed="false">
      <c r="A203" s="0" t="s">
        <v>33</v>
      </c>
      <c r="B203" s="0" t="s">
        <v>32</v>
      </c>
      <c r="C203" s="0" t="n">
        <v>72</v>
      </c>
      <c r="D203" s="0" t="n">
        <v>0.1</v>
      </c>
      <c r="E203" s="0" t="n">
        <v>50</v>
      </c>
      <c r="F203" s="0" t="s">
        <v>29</v>
      </c>
      <c r="G203" s="4" t="n">
        <v>0.0126040498258457</v>
      </c>
      <c r="H203" s="4" t="n">
        <v>0.00320624304154672</v>
      </c>
      <c r="I203" s="5" t="n">
        <f aca="false">G203/H203</f>
        <v>3.93109619655202</v>
      </c>
      <c r="J203" s="4" t="n">
        <v>0.109200991310349</v>
      </c>
      <c r="K203" s="4" t="n">
        <v>0.00308811047400528</v>
      </c>
      <c r="L203" s="6" t="n">
        <v>3600</v>
      </c>
      <c r="M203" s="7" t="n">
        <v>13.956</v>
      </c>
      <c r="N203" s="0" t="str">
        <f aca="false">IF(G203&gt;2*H203,"yes","no")</f>
        <v>yes</v>
      </c>
    </row>
    <row r="204" customFormat="false" ht="15" hidden="false" customHeight="false" outlineLevel="0" collapsed="false">
      <c r="A204" s="0" t="s">
        <v>33</v>
      </c>
      <c r="B204" s="0" t="s">
        <v>32</v>
      </c>
      <c r="C204" s="0" t="n">
        <v>72</v>
      </c>
      <c r="D204" s="0" t="n">
        <v>0.1</v>
      </c>
      <c r="E204" s="0" t="n">
        <v>50</v>
      </c>
      <c r="F204" s="0" t="s">
        <v>30</v>
      </c>
      <c r="G204" s="4" t="n">
        <v>-0.000693696220093575</v>
      </c>
      <c r="H204" s="4" t="n">
        <v>0.00285336240996413</v>
      </c>
      <c r="I204" s="5" t="n">
        <f aca="false">G204/H204</f>
        <v>-0.243115356700272</v>
      </c>
      <c r="J204" s="4" t="n">
        <v>0.0060535725487736</v>
      </c>
      <c r="K204" s="4" t="n">
        <v>0.00300849788305251</v>
      </c>
      <c r="L204" s="6" t="n">
        <v>8800</v>
      </c>
      <c r="M204" s="7" t="n">
        <v>30.356</v>
      </c>
      <c r="N204" s="0" t="str">
        <f aca="false">IF(G204&gt;2*H204,"yes","no")</f>
        <v>no</v>
      </c>
    </row>
    <row r="205" customFormat="false" ht="15" hidden="false" customHeight="false" outlineLevel="0" collapsed="false">
      <c r="A205" s="0" t="s">
        <v>33</v>
      </c>
      <c r="B205" s="0" t="s">
        <v>32</v>
      </c>
      <c r="C205" s="0" t="n">
        <v>72</v>
      </c>
      <c r="D205" s="0" t="n">
        <v>0.1</v>
      </c>
      <c r="E205" s="0" t="n">
        <v>50</v>
      </c>
      <c r="F205" s="0" t="s">
        <v>31</v>
      </c>
      <c r="G205" s="4" t="n">
        <v>-0.0046810828316135</v>
      </c>
      <c r="H205" s="4" t="n">
        <v>0.00281968935989597</v>
      </c>
      <c r="I205" s="5" t="n">
        <f aca="false">G205/H205</f>
        <v>-1.66014132556297</v>
      </c>
      <c r="J205" s="4" t="n">
        <v>0.00280758672323434</v>
      </c>
      <c r="K205" s="4" t="n">
        <v>0.00304318998314109</v>
      </c>
      <c r="L205" s="6" t="n">
        <v>3600</v>
      </c>
      <c r="M205" s="7" t="n">
        <v>255.556</v>
      </c>
      <c r="N205" s="0" t="str">
        <f aca="false">IF(G205&gt;2*H205,"yes","no")</f>
        <v>no</v>
      </c>
    </row>
    <row r="206" customFormat="false" ht="15" hidden="false" customHeight="false" outlineLevel="0" collapsed="false">
      <c r="A206" s="0" t="s">
        <v>33</v>
      </c>
      <c r="B206" s="0" t="s">
        <v>32</v>
      </c>
      <c r="C206" s="0" t="n">
        <v>72</v>
      </c>
      <c r="D206" s="0" t="n">
        <v>0.1</v>
      </c>
      <c r="E206" s="0" t="n">
        <v>100</v>
      </c>
      <c r="F206" s="0" t="s">
        <v>29</v>
      </c>
      <c r="G206" s="4" t="n">
        <v>-0.000428683350825585</v>
      </c>
      <c r="H206" s="4" t="n">
        <v>0.00290206907306306</v>
      </c>
      <c r="I206" s="5" t="n">
        <f aca="false">G206/H206</f>
        <v>-0.147716453341726</v>
      </c>
      <c r="J206" s="4" t="n">
        <v>0.0283330709900834</v>
      </c>
      <c r="K206" s="4" t="n">
        <v>0.00301379452480998</v>
      </c>
      <c r="L206" s="6" t="n">
        <v>7200</v>
      </c>
      <c r="M206" s="7" t="n">
        <v>25.156</v>
      </c>
      <c r="N206" s="0" t="str">
        <f aca="false">IF(G206&gt;2*H206,"yes","no")</f>
        <v>no</v>
      </c>
    </row>
    <row r="207" customFormat="false" ht="15" hidden="false" customHeight="false" outlineLevel="0" collapsed="false">
      <c r="A207" s="0" t="s">
        <v>33</v>
      </c>
      <c r="B207" s="0" t="s">
        <v>32</v>
      </c>
      <c r="C207" s="0" t="n">
        <v>72</v>
      </c>
      <c r="D207" s="0" t="n">
        <v>0.1</v>
      </c>
      <c r="E207" s="0" t="n">
        <v>100</v>
      </c>
      <c r="F207" s="0" t="s">
        <v>30</v>
      </c>
      <c r="G207" s="4" t="n">
        <v>-0.00696657526124657</v>
      </c>
      <c r="H207" s="4" t="n">
        <v>0.00284363951603979</v>
      </c>
      <c r="I207" s="5" t="n">
        <f aca="false">G207/H207</f>
        <v>-2.44987988876614</v>
      </c>
      <c r="J207" s="4" t="n">
        <v>-0.00715008858516831</v>
      </c>
      <c r="K207" s="4" t="n">
        <v>0.00295895269658902</v>
      </c>
      <c r="L207" s="6" t="n">
        <v>17600</v>
      </c>
      <c r="M207" s="7" t="n">
        <v>57.956</v>
      </c>
      <c r="N207" s="0" t="str">
        <f aca="false">IF(G207&gt;2*H207,"yes","no")</f>
        <v>no</v>
      </c>
    </row>
    <row r="208" customFormat="false" ht="15" hidden="false" customHeight="false" outlineLevel="0" collapsed="false">
      <c r="A208" s="0" t="s">
        <v>33</v>
      </c>
      <c r="B208" s="0" t="s">
        <v>32</v>
      </c>
      <c r="C208" s="0" t="n">
        <v>72</v>
      </c>
      <c r="D208" s="0" t="n">
        <v>0.1</v>
      </c>
      <c r="E208" s="0" t="n">
        <v>100</v>
      </c>
      <c r="F208" s="0" t="s">
        <v>31</v>
      </c>
      <c r="G208" s="4" t="n">
        <v>-0.000958461742630904</v>
      </c>
      <c r="H208" s="4" t="n">
        <v>0.00288619754833932</v>
      </c>
      <c r="I208" s="5" t="n">
        <f aca="false">G208/H208</f>
        <v>-0.332084594549805</v>
      </c>
      <c r="J208" s="4" t="n">
        <v>-0.00381846635367762</v>
      </c>
      <c r="K208" s="4" t="n">
        <v>0.00297356425272541</v>
      </c>
      <c r="L208" s="6" t="n">
        <v>7200</v>
      </c>
      <c r="M208" s="7" t="n">
        <v>508.356</v>
      </c>
      <c r="N208" s="0" t="str">
        <f aca="false">IF(G208&gt;2*H208,"yes","no")</f>
        <v>no</v>
      </c>
    </row>
    <row r="209" customFormat="false" ht="15" hidden="false" customHeight="false" outlineLevel="0" collapsed="false">
      <c r="A209" s="0" t="s">
        <v>33</v>
      </c>
      <c r="B209" s="0" t="s">
        <v>32</v>
      </c>
      <c r="C209" s="0" t="n">
        <v>72</v>
      </c>
      <c r="D209" s="0" t="n">
        <v>0.3</v>
      </c>
      <c r="E209" s="0" t="n">
        <v>24</v>
      </c>
      <c r="F209" s="0" t="s">
        <v>29</v>
      </c>
      <c r="G209" s="4" t="n">
        <v>0.242855457575132</v>
      </c>
      <c r="H209" s="4" t="n">
        <v>0.00440060230102555</v>
      </c>
      <c r="I209" s="5" t="n">
        <f aca="false">G209/H209</f>
        <v>55.1868678336452</v>
      </c>
      <c r="J209" s="4" t="n">
        <v>0.274600043830813</v>
      </c>
      <c r="K209" s="4" t="n">
        <v>0.00401274691037604</v>
      </c>
      <c r="L209" s="6" t="n">
        <v>1728</v>
      </c>
      <c r="M209" s="7" t="n">
        <v>8.132</v>
      </c>
      <c r="N209" s="0" t="str">
        <f aca="false">IF(G209&gt;2*H209,"yes","no")</f>
        <v>yes</v>
      </c>
    </row>
    <row r="210" customFormat="false" ht="15" hidden="false" customHeight="false" outlineLevel="0" collapsed="false">
      <c r="A210" s="0" t="s">
        <v>33</v>
      </c>
      <c r="B210" s="0" t="s">
        <v>32</v>
      </c>
      <c r="C210" s="0" t="n">
        <v>72</v>
      </c>
      <c r="D210" s="0" t="n">
        <v>0.3</v>
      </c>
      <c r="E210" s="0" t="n">
        <v>24</v>
      </c>
      <c r="F210" s="0" t="s">
        <v>30</v>
      </c>
      <c r="G210" s="4" t="n">
        <v>0.00302658969778395</v>
      </c>
      <c r="H210" s="4" t="n">
        <v>0.00290322528347515</v>
      </c>
      <c r="I210" s="5" t="n">
        <f aca="false">G210/H210</f>
        <v>1.0424921948052</v>
      </c>
      <c r="J210" s="4" t="n">
        <v>0.0299074219362937</v>
      </c>
      <c r="K210" s="4" t="n">
        <v>0.00294398942775436</v>
      </c>
      <c r="L210" s="6" t="n">
        <v>4224</v>
      </c>
      <c r="M210" s="7" t="n">
        <v>16.004</v>
      </c>
      <c r="N210" s="0" t="str">
        <f aca="false">IF(G210&gt;2*H210,"yes","no")</f>
        <v>no</v>
      </c>
    </row>
    <row r="211" customFormat="false" ht="15" hidden="false" customHeight="false" outlineLevel="0" collapsed="false">
      <c r="A211" s="0" t="s">
        <v>33</v>
      </c>
      <c r="B211" s="0" t="s">
        <v>32</v>
      </c>
      <c r="C211" s="0" t="n">
        <v>72</v>
      </c>
      <c r="D211" s="0" t="n">
        <v>0.3</v>
      </c>
      <c r="E211" s="0" t="n">
        <v>24</v>
      </c>
      <c r="F211" s="0" t="s">
        <v>31</v>
      </c>
      <c r="G211" s="4" t="n">
        <v>0.000764885855495411</v>
      </c>
      <c r="H211" s="4" t="n">
        <v>0.00277926677669322</v>
      </c>
      <c r="I211" s="5" t="n">
        <f aca="false">G211/H211</f>
        <v>0.275211383775642</v>
      </c>
      <c r="J211" s="4" t="n">
        <v>0.0100887435777674</v>
      </c>
      <c r="K211" s="4" t="n">
        <v>0.00300849062180899</v>
      </c>
      <c r="L211" s="6" t="n">
        <v>1728</v>
      </c>
      <c r="M211" s="7" t="n">
        <v>124.1</v>
      </c>
      <c r="N211" s="0" t="str">
        <f aca="false">IF(G211&gt;2*H211,"yes","no")</f>
        <v>no</v>
      </c>
    </row>
    <row r="212" customFormat="false" ht="15" hidden="false" customHeight="false" outlineLevel="0" collapsed="false">
      <c r="A212" s="0" t="s">
        <v>33</v>
      </c>
      <c r="B212" s="0" t="s">
        <v>32</v>
      </c>
      <c r="C212" s="0" t="n">
        <v>72</v>
      </c>
      <c r="D212" s="0" t="n">
        <v>0.3</v>
      </c>
      <c r="E212" s="0" t="n">
        <v>50</v>
      </c>
      <c r="F212" s="0" t="s">
        <v>29</v>
      </c>
      <c r="G212" s="4" t="n">
        <v>0.00218517916992721</v>
      </c>
      <c r="H212" s="4" t="n">
        <v>0.00300169763998726</v>
      </c>
      <c r="I212" s="5" t="n">
        <f aca="false">G212/H212</f>
        <v>0.727981106696837</v>
      </c>
      <c r="J212" s="4" t="n">
        <v>0.0464619827965091</v>
      </c>
      <c r="K212" s="4" t="n">
        <v>0.00311813129290949</v>
      </c>
      <c r="L212" s="6" t="n">
        <v>3600</v>
      </c>
      <c r="M212" s="7" t="n">
        <v>13.956</v>
      </c>
      <c r="N212" s="0" t="str">
        <f aca="false">IF(G212&gt;2*H212,"yes","no")</f>
        <v>no</v>
      </c>
    </row>
    <row r="213" customFormat="false" ht="15" hidden="false" customHeight="false" outlineLevel="0" collapsed="false">
      <c r="A213" s="0" t="s">
        <v>33</v>
      </c>
      <c r="B213" s="0" t="s">
        <v>32</v>
      </c>
      <c r="C213" s="0" t="n">
        <v>72</v>
      </c>
      <c r="D213" s="0" t="n">
        <v>0.3</v>
      </c>
      <c r="E213" s="0" t="n">
        <v>50</v>
      </c>
      <c r="F213" s="0" t="s">
        <v>30</v>
      </c>
      <c r="G213" s="4" t="n">
        <v>-0.0010185554227005</v>
      </c>
      <c r="H213" s="4" t="n">
        <v>0.0028310647487013</v>
      </c>
      <c r="I213" s="5" t="n">
        <f aca="false">G213/H213</f>
        <v>-0.359778215304947</v>
      </c>
      <c r="J213" s="4" t="n">
        <v>0.00326100589489527</v>
      </c>
      <c r="K213" s="4" t="n">
        <v>0.0029650127064814</v>
      </c>
      <c r="L213" s="6" t="n">
        <v>8800</v>
      </c>
      <c r="M213" s="7" t="n">
        <v>30.356</v>
      </c>
      <c r="N213" s="0" t="str">
        <f aca="false">IF(G213&gt;2*H213,"yes","no")</f>
        <v>no</v>
      </c>
    </row>
    <row r="214" customFormat="false" ht="15" hidden="false" customHeight="false" outlineLevel="0" collapsed="false">
      <c r="A214" s="0" t="s">
        <v>33</v>
      </c>
      <c r="B214" s="0" t="s">
        <v>32</v>
      </c>
      <c r="C214" s="0" t="n">
        <v>72</v>
      </c>
      <c r="D214" s="0" t="n">
        <v>0.3</v>
      </c>
      <c r="E214" s="0" t="n">
        <v>50</v>
      </c>
      <c r="F214" s="0" t="s">
        <v>31</v>
      </c>
      <c r="G214" s="4" t="n">
        <v>-0.00352272894068605</v>
      </c>
      <c r="H214" s="4" t="n">
        <v>0.0027830296656331</v>
      </c>
      <c r="I214" s="5" t="n">
        <f aca="false">G214/H214</f>
        <v>-1.26578921676161</v>
      </c>
      <c r="J214" s="4" t="n">
        <v>0.00229450249604663</v>
      </c>
      <c r="K214" s="4" t="n">
        <v>0.00300263580317283</v>
      </c>
      <c r="L214" s="6" t="n">
        <v>3600</v>
      </c>
      <c r="M214" s="7" t="n">
        <v>255.556</v>
      </c>
      <c r="N214" s="0" t="str">
        <f aca="false">IF(G214&gt;2*H214,"yes","no")</f>
        <v>no</v>
      </c>
    </row>
    <row r="215" customFormat="false" ht="15" hidden="false" customHeight="false" outlineLevel="0" collapsed="false">
      <c r="A215" s="0" t="s">
        <v>33</v>
      </c>
      <c r="B215" s="0" t="s">
        <v>32</v>
      </c>
      <c r="C215" s="0" t="n">
        <v>72</v>
      </c>
      <c r="D215" s="0" t="n">
        <v>0.3</v>
      </c>
      <c r="E215" s="0" t="n">
        <v>100</v>
      </c>
      <c r="F215" s="0" t="s">
        <v>29</v>
      </c>
      <c r="G215" s="4" t="n">
        <v>-0.00309258519406342</v>
      </c>
      <c r="H215" s="4" t="n">
        <v>0.00279704056176635</v>
      </c>
      <c r="I215" s="5" t="n">
        <f aca="false">G215/H215</f>
        <v>-1.10566333443174</v>
      </c>
      <c r="J215" s="4" t="n">
        <v>0.00391167192429022</v>
      </c>
      <c r="K215" s="4" t="n">
        <v>0.00301075748913975</v>
      </c>
      <c r="L215" s="6" t="n">
        <v>7200</v>
      </c>
      <c r="M215" s="7" t="n">
        <v>25.156</v>
      </c>
      <c r="N215" s="0" t="str">
        <f aca="false">IF(G215&gt;2*H215,"yes","no")</f>
        <v>no</v>
      </c>
    </row>
    <row r="216" customFormat="false" ht="15" hidden="false" customHeight="false" outlineLevel="0" collapsed="false">
      <c r="A216" s="0" t="s">
        <v>33</v>
      </c>
      <c r="B216" s="0" t="s">
        <v>32</v>
      </c>
      <c r="C216" s="0" t="n">
        <v>72</v>
      </c>
      <c r="D216" s="0" t="n">
        <v>0.3</v>
      </c>
      <c r="E216" s="0" t="n">
        <v>100</v>
      </c>
      <c r="F216" s="0" t="s">
        <v>30</v>
      </c>
      <c r="G216" s="4" t="n">
        <v>0.000887744684628701</v>
      </c>
      <c r="H216" s="4" t="n">
        <v>0.00281082892622745</v>
      </c>
      <c r="I216" s="5" t="n">
        <f aca="false">G216/H216</f>
        <v>0.315830208073241</v>
      </c>
      <c r="J216" s="4" t="n">
        <v>0.00475995334615263</v>
      </c>
      <c r="K216" s="4" t="n">
        <v>0.00299475513281231</v>
      </c>
      <c r="L216" s="6" t="n">
        <v>17600</v>
      </c>
      <c r="M216" s="7" t="n">
        <v>57.956</v>
      </c>
      <c r="N216" s="0" t="str">
        <f aca="false">IF(G216&gt;2*H216,"yes","no")</f>
        <v>no</v>
      </c>
    </row>
    <row r="217" customFormat="false" ht="15" hidden="false" customHeight="false" outlineLevel="0" collapsed="false">
      <c r="A217" s="0" t="s">
        <v>33</v>
      </c>
      <c r="B217" s="0" t="s">
        <v>32</v>
      </c>
      <c r="C217" s="0" t="n">
        <v>72</v>
      </c>
      <c r="D217" s="0" t="n">
        <v>0.3</v>
      </c>
      <c r="E217" s="0" t="n">
        <v>100</v>
      </c>
      <c r="F217" s="0" t="s">
        <v>31</v>
      </c>
      <c r="G217" s="4" t="n">
        <v>-0.00381994631426802</v>
      </c>
      <c r="H217" s="4" t="n">
        <v>0.0028106459347131</v>
      </c>
      <c r="I217" s="5" t="n">
        <f aca="false">G217/H217</f>
        <v>-1.35909908362682</v>
      </c>
      <c r="J217" s="4" t="n">
        <v>-0.00378835316217909</v>
      </c>
      <c r="K217" s="4" t="n">
        <v>0.0029758413959596</v>
      </c>
      <c r="L217" s="6" t="n">
        <v>7200</v>
      </c>
      <c r="M217" s="7" t="n">
        <v>508.356</v>
      </c>
      <c r="N217" s="0" t="str">
        <f aca="false">IF(G217&gt;2*H217,"yes","no")</f>
        <v>no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5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3" min="13" style="0" width="7"/>
    <col collapsed="false" customWidth="true" hidden="false" outlineLevel="0" max="15" min="14" style="0" width="12"/>
  </cols>
  <sheetData>
    <row r="1" customFormat="false" ht="35.05" hidden="false" customHeight="false" outlineLevel="0" collapsed="false">
      <c r="A1" s="3" t="s">
        <v>13</v>
      </c>
      <c r="B1" s="3" t="s">
        <v>14</v>
      </c>
      <c r="C1" s="3" t="s">
        <v>15</v>
      </c>
      <c r="D1" s="3" t="s">
        <v>16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 t="s">
        <v>43</v>
      </c>
      <c r="O1" s="3" t="s">
        <v>44</v>
      </c>
    </row>
    <row r="2" customFormat="false" ht="15" hidden="false" customHeight="false" outlineLevel="0" collapsed="false">
      <c r="A2" s="0" t="s">
        <v>27</v>
      </c>
      <c r="B2" s="0" t="s">
        <v>28</v>
      </c>
      <c r="C2" s="0" t="n">
        <v>20</v>
      </c>
      <c r="D2" s="0" t="n">
        <v>0</v>
      </c>
      <c r="E2" s="0" t="n">
        <v>24</v>
      </c>
      <c r="F2" s="0" t="s">
        <v>30</v>
      </c>
      <c r="G2" s="8" t="n">
        <f aca="false">'Echo (tests 2, 3E)'!G2</f>
        <v>0.366260390636952</v>
      </c>
      <c r="H2" s="8" t="n">
        <f aca="false">'Echo (tests 2, 3E)'!H2</f>
        <v>0.0107801719536609</v>
      </c>
      <c r="I2" s="8" t="n">
        <f aca="false">'Echo (tests 2, 3E)'!G3</f>
        <v>0.0790509791890372</v>
      </c>
      <c r="J2" s="8" t="n">
        <f aca="false">'Echo (tests 2, 3E)'!H3</f>
        <v>0.00759443963969706</v>
      </c>
      <c r="K2" s="9" t="n">
        <f aca="false">G2-I2</f>
        <v>0.287209411447915</v>
      </c>
      <c r="L2" s="9" t="n">
        <f aca="false">SQRT(H2^2+J2^2)</f>
        <v>0.013186645547352</v>
      </c>
      <c r="M2" s="5" t="n">
        <f aca="false">K2/L2</f>
        <v>21.7803239206342</v>
      </c>
      <c r="N2" s="0" t="str">
        <f aca="false">IF(OR(G2&gt;2*H2,I2&gt;2*J2),"yes","no")</f>
        <v>yes</v>
      </c>
      <c r="O2" s="0" t="str">
        <f aca="false">IF(N2="no","NOT JUDGED",IF(K2&gt;2*L2,"WIN",IF(K2&lt;-2*L2,"LOSS","TIE")))</f>
        <v>WIN</v>
      </c>
    </row>
    <row r="3" customFormat="false" ht="15" hidden="false" customHeight="false" outlineLevel="0" collapsed="false">
      <c r="A3" s="0" t="s">
        <v>27</v>
      </c>
      <c r="B3" s="0" t="s">
        <v>28</v>
      </c>
      <c r="C3" s="0" t="n">
        <v>20</v>
      </c>
      <c r="D3" s="0" t="n">
        <v>0</v>
      </c>
      <c r="E3" s="0" t="n">
        <v>24</v>
      </c>
      <c r="F3" s="0" t="s">
        <v>31</v>
      </c>
      <c r="G3" s="8" t="n">
        <f aca="false">'Echo (tests 2, 3E)'!G2</f>
        <v>0.366260390636952</v>
      </c>
      <c r="H3" s="8" t="n">
        <f aca="false">'Echo (tests 2, 3E)'!H2</f>
        <v>0.0107801719536609</v>
      </c>
      <c r="I3" s="8" t="n">
        <f aca="false">'Echo (tests 2, 3E)'!G4</f>
        <v>-0.0307085797281876</v>
      </c>
      <c r="J3" s="8" t="n">
        <f aca="false">'Echo (tests 2, 3E)'!H4</f>
        <v>0.00604842398023318</v>
      </c>
      <c r="K3" s="9" t="n">
        <f aca="false">G3-I3</f>
        <v>0.39696897036514</v>
      </c>
      <c r="L3" s="9" t="n">
        <f aca="false">SQRT(H3^2+J3^2)</f>
        <v>0.0123610493080141</v>
      </c>
      <c r="M3" s="5" t="n">
        <f aca="false">K3/L3</f>
        <v>32.1145042361227</v>
      </c>
      <c r="N3" s="0" t="str">
        <f aca="false">IF(OR(G3&gt;2*H3,I3&gt;2*J3),"yes","no")</f>
        <v>yes</v>
      </c>
      <c r="O3" s="0" t="str">
        <f aca="false">IF(N3="no","NOT JUDGED",IF(K3&gt;2*L3,"WIN",IF(K3&lt;-2*L3,"LOSS","TIE")))</f>
        <v>WIN</v>
      </c>
    </row>
    <row r="4" customFormat="false" ht="15" hidden="false" customHeight="false" outlineLevel="0" collapsed="false">
      <c r="A4" s="0" t="s">
        <v>27</v>
      </c>
      <c r="B4" s="0" t="s">
        <v>28</v>
      </c>
      <c r="C4" s="0" t="n">
        <v>20</v>
      </c>
      <c r="D4" s="0" t="n">
        <v>0</v>
      </c>
      <c r="E4" s="0" t="n">
        <v>50</v>
      </c>
      <c r="F4" s="0" t="s">
        <v>30</v>
      </c>
      <c r="G4" s="8" t="n">
        <f aca="false">'Echo (tests 2, 3E)'!G5</f>
        <v>0.0985865183446446</v>
      </c>
      <c r="H4" s="8" t="n">
        <f aca="false">'Echo (tests 2, 3E)'!H5</f>
        <v>0.00850647018120925</v>
      </c>
      <c r="I4" s="8" t="n">
        <f aca="false">'Echo (tests 2, 3E)'!G6</f>
        <v>-0.000408977046163284</v>
      </c>
      <c r="J4" s="8" t="n">
        <f aca="false">'Echo (tests 2, 3E)'!H6</f>
        <v>0.00543982654208321</v>
      </c>
      <c r="K4" s="9" t="n">
        <f aca="false">G4-I4</f>
        <v>0.0989954953908079</v>
      </c>
      <c r="L4" s="9" t="n">
        <f aca="false">SQRT(H4^2+J4^2)</f>
        <v>0.0100971158135259</v>
      </c>
      <c r="M4" s="5" t="n">
        <f aca="false">K4/L4</f>
        <v>9.8043339522951</v>
      </c>
      <c r="N4" s="0" t="str">
        <f aca="false">IF(OR(G4&gt;2*H4,I4&gt;2*J4),"yes","no")</f>
        <v>yes</v>
      </c>
      <c r="O4" s="0" t="str">
        <f aca="false">IF(N4="no","NOT JUDGED",IF(K4&gt;2*L4,"WIN",IF(K4&lt;-2*L4,"LOSS","TIE")))</f>
        <v>WIN</v>
      </c>
    </row>
    <row r="5" customFormat="false" ht="15" hidden="false" customHeight="false" outlineLevel="0" collapsed="false">
      <c r="A5" s="0" t="s">
        <v>27</v>
      </c>
      <c r="B5" s="0" t="s">
        <v>28</v>
      </c>
      <c r="C5" s="0" t="n">
        <v>20</v>
      </c>
      <c r="D5" s="0" t="n">
        <v>0</v>
      </c>
      <c r="E5" s="0" t="n">
        <v>50</v>
      </c>
      <c r="F5" s="0" t="s">
        <v>31</v>
      </c>
      <c r="G5" s="8" t="n">
        <f aca="false">'Echo (tests 2, 3E)'!G5</f>
        <v>0.0985865183446446</v>
      </c>
      <c r="H5" s="8" t="n">
        <f aca="false">'Echo (tests 2, 3E)'!H5</f>
        <v>0.00850647018120925</v>
      </c>
      <c r="I5" s="8" t="n">
        <f aca="false">'Echo (tests 2, 3E)'!G7</f>
        <v>0.000673610031607856</v>
      </c>
      <c r="J5" s="8" t="n">
        <f aca="false">'Echo (tests 2, 3E)'!H7</f>
        <v>0.00536409493215042</v>
      </c>
      <c r="K5" s="9" t="n">
        <f aca="false">G5-I5</f>
        <v>0.0979129083130367</v>
      </c>
      <c r="L5" s="9" t="n">
        <f aca="false">SQRT(H5^2+J5^2)</f>
        <v>0.0100565177564067</v>
      </c>
      <c r="M5" s="5" t="n">
        <f aca="false">K5/L5</f>
        <v>9.73626365355533</v>
      </c>
      <c r="N5" s="0" t="str">
        <f aca="false">IF(OR(G5&gt;2*H5,I5&gt;2*J5),"yes","no")</f>
        <v>yes</v>
      </c>
      <c r="O5" s="0" t="str">
        <f aca="false">IF(N5="no","NOT JUDGED",IF(K5&gt;2*L5,"WIN",IF(K5&lt;-2*L5,"LOSS","TIE")))</f>
        <v>WIN</v>
      </c>
    </row>
    <row r="6" customFormat="false" ht="15" hidden="false" customHeight="false" outlineLevel="0" collapsed="false">
      <c r="A6" s="0" t="s">
        <v>27</v>
      </c>
      <c r="B6" s="0" t="s">
        <v>28</v>
      </c>
      <c r="C6" s="0" t="n">
        <v>20</v>
      </c>
      <c r="D6" s="0" t="n">
        <v>0</v>
      </c>
      <c r="E6" s="0" t="n">
        <v>100</v>
      </c>
      <c r="F6" s="0" t="s">
        <v>30</v>
      </c>
      <c r="G6" s="8" t="n">
        <f aca="false">'Echo (tests 2, 3E)'!G8</f>
        <v>0.00695687758964653</v>
      </c>
      <c r="H6" s="8" t="n">
        <f aca="false">'Echo (tests 2, 3E)'!H8</f>
        <v>0.00589667497403009</v>
      </c>
      <c r="I6" s="8" t="n">
        <f aca="false">'Echo (tests 2, 3E)'!G9</f>
        <v>0.011092368246179</v>
      </c>
      <c r="J6" s="8" t="n">
        <f aca="false">'Echo (tests 2, 3E)'!H9</f>
        <v>0.00511065391103366</v>
      </c>
      <c r="K6" s="9" t="n">
        <f aca="false">G6-I6</f>
        <v>-0.00413549065653248</v>
      </c>
      <c r="L6" s="9" t="n">
        <f aca="false">SQRT(H6^2+J6^2)</f>
        <v>0.00780317622175204</v>
      </c>
      <c r="M6" s="5" t="n">
        <f aca="false">K6/L6</f>
        <v>-0.529975299674053</v>
      </c>
      <c r="N6" s="0" t="str">
        <f aca="false">IF(OR(G6&gt;2*H6,I6&gt;2*J6),"yes","no")</f>
        <v>yes</v>
      </c>
      <c r="O6" s="0" t="str">
        <f aca="false">IF(N6="no","NOT JUDGED",IF(K6&gt;2*L6,"WIN",IF(K6&lt;-2*L6,"LOSS","TIE")))</f>
        <v>TIE</v>
      </c>
    </row>
    <row r="7" customFormat="false" ht="15" hidden="false" customHeight="false" outlineLevel="0" collapsed="false">
      <c r="A7" s="0" t="s">
        <v>27</v>
      </c>
      <c r="B7" s="0" t="s">
        <v>28</v>
      </c>
      <c r="C7" s="0" t="n">
        <v>20</v>
      </c>
      <c r="D7" s="0" t="n">
        <v>0</v>
      </c>
      <c r="E7" s="0" t="n">
        <v>100</v>
      </c>
      <c r="F7" s="0" t="s">
        <v>31</v>
      </c>
      <c r="G7" s="8" t="n">
        <f aca="false">'Echo (tests 2, 3E)'!G8</f>
        <v>0.00695687758964653</v>
      </c>
      <c r="H7" s="8" t="n">
        <f aca="false">'Echo (tests 2, 3E)'!H8</f>
        <v>0.00589667497403009</v>
      </c>
      <c r="I7" s="8" t="n">
        <f aca="false">'Echo (tests 2, 3E)'!G10</f>
        <v>0.00626748161193412</v>
      </c>
      <c r="J7" s="8" t="n">
        <f aca="false">'Echo (tests 2, 3E)'!H10</f>
        <v>0.00521446799453487</v>
      </c>
      <c r="K7" s="9" t="n">
        <f aca="false">G7-I7</f>
        <v>0.000689395977712415</v>
      </c>
      <c r="L7" s="9" t="n">
        <f aca="false">SQRT(H7^2+J7^2)</f>
        <v>0.00787155970665162</v>
      </c>
      <c r="M7" s="5" t="n">
        <f aca="false">K7/L7</f>
        <v>0.0875806070720473</v>
      </c>
      <c r="N7" s="0" t="str">
        <f aca="false">IF(OR(G7&gt;2*H7,I7&gt;2*J7),"yes","no")</f>
        <v>no</v>
      </c>
      <c r="O7" s="0" t="str">
        <f aca="false">IF(N7="no","NOT JUDGED",IF(K7&gt;2*L7,"WIN",IF(K7&lt;-2*L7,"LOSS","TIE")))</f>
        <v>NOT JUDGED</v>
      </c>
    </row>
    <row r="8" customFormat="false" ht="15" hidden="false" customHeight="false" outlineLevel="0" collapsed="false">
      <c r="A8" s="0" t="s">
        <v>27</v>
      </c>
      <c r="B8" s="0" t="s">
        <v>28</v>
      </c>
      <c r="C8" s="0" t="n">
        <v>20</v>
      </c>
      <c r="D8" s="0" t="n">
        <v>0.1</v>
      </c>
      <c r="E8" s="0" t="n">
        <v>24</v>
      </c>
      <c r="F8" s="0" t="s">
        <v>30</v>
      </c>
      <c r="G8" s="8" t="n">
        <f aca="false">'Echo (tests 2, 3E)'!G11</f>
        <v>0.387377250409165</v>
      </c>
      <c r="H8" s="8" t="n">
        <f aca="false">'Echo (tests 2, 3E)'!H11</f>
        <v>0.010181549120408</v>
      </c>
      <c r="I8" s="8" t="n">
        <f aca="false">'Echo (tests 2, 3E)'!G12</f>
        <v>0.0736362705966636</v>
      </c>
      <c r="J8" s="8" t="n">
        <f aca="false">'Echo (tests 2, 3E)'!H12</f>
        <v>0.00705232025101688</v>
      </c>
      <c r="K8" s="9" t="n">
        <f aca="false">G8-I8</f>
        <v>0.313740979812502</v>
      </c>
      <c r="L8" s="9" t="n">
        <f aca="false">SQRT(H8^2+J8^2)</f>
        <v>0.0123854415914082</v>
      </c>
      <c r="M8" s="5" t="n">
        <f aca="false">K8/L8</f>
        <v>25.3314326741604</v>
      </c>
      <c r="N8" s="0" t="str">
        <f aca="false">IF(OR(G8&gt;2*H8,I8&gt;2*J8),"yes","no")</f>
        <v>yes</v>
      </c>
      <c r="O8" s="0" t="str">
        <f aca="false">IF(N8="no","NOT JUDGED",IF(K8&gt;2*L8,"WIN",IF(K8&lt;-2*L8,"LOSS","TIE")))</f>
        <v>WIN</v>
      </c>
    </row>
    <row r="9" customFormat="false" ht="15" hidden="false" customHeight="false" outlineLevel="0" collapsed="false">
      <c r="A9" s="0" t="s">
        <v>27</v>
      </c>
      <c r="B9" s="0" t="s">
        <v>28</v>
      </c>
      <c r="C9" s="0" t="n">
        <v>20</v>
      </c>
      <c r="D9" s="0" t="n">
        <v>0.1</v>
      </c>
      <c r="E9" s="0" t="n">
        <v>24</v>
      </c>
      <c r="F9" s="0" t="s">
        <v>31</v>
      </c>
      <c r="G9" s="8" t="n">
        <f aca="false">'Echo (tests 2, 3E)'!G11</f>
        <v>0.387377250409165</v>
      </c>
      <c r="H9" s="8" t="n">
        <f aca="false">'Echo (tests 2, 3E)'!H11</f>
        <v>0.010181549120408</v>
      </c>
      <c r="I9" s="8" t="n">
        <f aca="false">'Echo (tests 2, 3E)'!G13</f>
        <v>-0.014420583048034</v>
      </c>
      <c r="J9" s="8" t="n">
        <f aca="false">'Echo (tests 2, 3E)'!H13</f>
        <v>0.00594274579044837</v>
      </c>
      <c r="K9" s="9" t="n">
        <f aca="false">G9-I9</f>
        <v>0.401797833457199</v>
      </c>
      <c r="L9" s="9" t="n">
        <f aca="false">SQRT(H9^2+J9^2)</f>
        <v>0.0117889851141297</v>
      </c>
      <c r="M9" s="5" t="n">
        <f aca="false">K9/L9</f>
        <v>34.082478649975</v>
      </c>
      <c r="N9" s="0" t="str">
        <f aca="false">IF(OR(G9&gt;2*H9,I9&gt;2*J9),"yes","no")</f>
        <v>yes</v>
      </c>
      <c r="O9" s="0" t="str">
        <f aca="false">IF(N9="no","NOT JUDGED",IF(K9&gt;2*L9,"WIN",IF(K9&lt;-2*L9,"LOSS","TIE")))</f>
        <v>WIN</v>
      </c>
    </row>
    <row r="10" customFormat="false" ht="15" hidden="false" customHeight="false" outlineLevel="0" collapsed="false">
      <c r="A10" s="0" t="s">
        <v>27</v>
      </c>
      <c r="B10" s="0" t="s">
        <v>28</v>
      </c>
      <c r="C10" s="0" t="n">
        <v>20</v>
      </c>
      <c r="D10" s="0" t="n">
        <v>0.1</v>
      </c>
      <c r="E10" s="0" t="n">
        <v>50</v>
      </c>
      <c r="F10" s="0" t="s">
        <v>30</v>
      </c>
      <c r="G10" s="8" t="n">
        <f aca="false">'Echo (tests 2, 3E)'!G14</f>
        <v>0.104123026618301</v>
      </c>
      <c r="H10" s="8" t="n">
        <f aca="false">'Echo (tests 2, 3E)'!H14</f>
        <v>0.00829110517551633</v>
      </c>
      <c r="I10" s="8" t="n">
        <f aca="false">'Echo (tests 2, 3E)'!G15</f>
        <v>0.0118397550395509</v>
      </c>
      <c r="J10" s="8" t="n">
        <f aca="false">'Echo (tests 2, 3E)'!H15</f>
        <v>0.00525491273152437</v>
      </c>
      <c r="K10" s="9" t="n">
        <f aca="false">G10-I10</f>
        <v>0.0922832715787498</v>
      </c>
      <c r="L10" s="9" t="n">
        <f aca="false">SQRT(H10^2+J10^2)</f>
        <v>0.00981613635028623</v>
      </c>
      <c r="M10" s="5" t="n">
        <f aca="false">K10/L10</f>
        <v>9.4011806973381</v>
      </c>
      <c r="N10" s="0" t="str">
        <f aca="false">IF(OR(G10&gt;2*H10,I10&gt;2*J10),"yes","no")</f>
        <v>yes</v>
      </c>
      <c r="O10" s="0" t="str">
        <f aca="false">IF(N10="no","NOT JUDGED",IF(K10&gt;2*L10,"WIN",IF(K10&lt;-2*L10,"LOSS","TIE")))</f>
        <v>WIN</v>
      </c>
    </row>
    <row r="11" customFormat="false" ht="15" hidden="false" customHeight="false" outlineLevel="0" collapsed="false">
      <c r="A11" s="0" t="s">
        <v>27</v>
      </c>
      <c r="B11" s="0" t="s">
        <v>28</v>
      </c>
      <c r="C11" s="0" t="n">
        <v>20</v>
      </c>
      <c r="D11" s="0" t="n">
        <v>0.1</v>
      </c>
      <c r="E11" s="0" t="n">
        <v>50</v>
      </c>
      <c r="F11" s="0" t="s">
        <v>31</v>
      </c>
      <c r="G11" s="8" t="n">
        <f aca="false">'Echo (tests 2, 3E)'!G14</f>
        <v>0.104123026618301</v>
      </c>
      <c r="H11" s="8" t="n">
        <f aca="false">'Echo (tests 2, 3E)'!H14</f>
        <v>0.00829110517551633</v>
      </c>
      <c r="I11" s="8" t="n">
        <f aca="false">'Echo (tests 2, 3E)'!G16</f>
        <v>5.18510836876491E-005</v>
      </c>
      <c r="J11" s="8" t="n">
        <f aca="false">'Echo (tests 2, 3E)'!H16</f>
        <v>0.00532862981798915</v>
      </c>
      <c r="K11" s="9" t="n">
        <f aca="false">G11-I11</f>
        <v>0.104071175534613</v>
      </c>
      <c r="L11" s="9" t="n">
        <f aca="false">SQRT(H11^2+J11^2)</f>
        <v>0.00985579630312218</v>
      </c>
      <c r="M11" s="5" t="n">
        <f aca="false">K11/L11</f>
        <v>10.5593878296414</v>
      </c>
      <c r="N11" s="0" t="str">
        <f aca="false">IF(OR(G11&gt;2*H11,I11&gt;2*J11),"yes","no")</f>
        <v>yes</v>
      </c>
      <c r="O11" s="0" t="str">
        <f aca="false">IF(N11="no","NOT JUDGED",IF(K11&gt;2*L11,"WIN",IF(K11&lt;-2*L11,"LOSS","TIE")))</f>
        <v>WIN</v>
      </c>
    </row>
    <row r="12" customFormat="false" ht="15" hidden="false" customHeight="false" outlineLevel="0" collapsed="false">
      <c r="A12" s="0" t="s">
        <v>27</v>
      </c>
      <c r="B12" s="0" t="s">
        <v>28</v>
      </c>
      <c r="C12" s="0" t="n">
        <v>20</v>
      </c>
      <c r="D12" s="0" t="n">
        <v>0.1</v>
      </c>
      <c r="E12" s="0" t="n">
        <v>100</v>
      </c>
      <c r="F12" s="0" t="s">
        <v>30</v>
      </c>
      <c r="G12" s="8" t="n">
        <f aca="false">'Echo (tests 2, 3E)'!G17</f>
        <v>0.000562113546936481</v>
      </c>
      <c r="H12" s="8" t="n">
        <f aca="false">'Echo (tests 2, 3E)'!H17</f>
        <v>0.00575256416655478</v>
      </c>
      <c r="I12" s="8" t="n">
        <f aca="false">'Echo (tests 2, 3E)'!G18</f>
        <v>-0.000204384037606662</v>
      </c>
      <c r="J12" s="8" t="n">
        <f aca="false">'Echo (tests 2, 3E)'!H18</f>
        <v>0.0050107545123965</v>
      </c>
      <c r="K12" s="9" t="n">
        <f aca="false">G12-I12</f>
        <v>0.000766497584543144</v>
      </c>
      <c r="L12" s="9" t="n">
        <f aca="false">SQRT(H12^2+J12^2)</f>
        <v>0.0076288698556098</v>
      </c>
      <c r="M12" s="5" t="n">
        <f aca="false">K12/L12</f>
        <v>0.100473280977458</v>
      </c>
      <c r="N12" s="0" t="str">
        <f aca="false">IF(OR(G12&gt;2*H12,I12&gt;2*J12),"yes","no")</f>
        <v>no</v>
      </c>
      <c r="O12" s="0" t="str">
        <f aca="false">IF(N12="no","NOT JUDGED",IF(K12&gt;2*L12,"WIN",IF(K12&lt;-2*L12,"LOSS","TIE")))</f>
        <v>NOT JUDGED</v>
      </c>
    </row>
    <row r="13" customFormat="false" ht="15" hidden="false" customHeight="false" outlineLevel="0" collapsed="false">
      <c r="A13" s="0" t="s">
        <v>27</v>
      </c>
      <c r="B13" s="0" t="s">
        <v>28</v>
      </c>
      <c r="C13" s="0" t="n">
        <v>20</v>
      </c>
      <c r="D13" s="0" t="n">
        <v>0.1</v>
      </c>
      <c r="E13" s="0" t="n">
        <v>100</v>
      </c>
      <c r="F13" s="0" t="s">
        <v>31</v>
      </c>
      <c r="G13" s="8" t="n">
        <f aca="false">'Echo (tests 2, 3E)'!G17</f>
        <v>0.000562113546936481</v>
      </c>
      <c r="H13" s="8" t="n">
        <f aca="false">'Echo (tests 2, 3E)'!H17</f>
        <v>0.00575256416655478</v>
      </c>
      <c r="I13" s="8" t="n">
        <f aca="false">'Echo (tests 2, 3E)'!G19</f>
        <v>0.0101120099564406</v>
      </c>
      <c r="J13" s="8" t="n">
        <f aca="false">'Echo (tests 2, 3E)'!H19</f>
        <v>0.00511425957950339</v>
      </c>
      <c r="K13" s="9" t="n">
        <f aca="false">G13-I13</f>
        <v>-0.00954989640950409</v>
      </c>
      <c r="L13" s="9" t="n">
        <f aca="false">SQRT(H13^2+J13^2)</f>
        <v>0.00769724921883606</v>
      </c>
      <c r="M13" s="5" t="n">
        <f aca="false">K13/L13</f>
        <v>-1.24068951621501</v>
      </c>
      <c r="N13" s="0" t="str">
        <f aca="false">IF(OR(G13&gt;2*H13,I13&gt;2*J13),"yes","no")</f>
        <v>no</v>
      </c>
      <c r="O13" s="0" t="str">
        <f aca="false">IF(N13="no","NOT JUDGED",IF(K13&gt;2*L13,"WIN",IF(K13&lt;-2*L13,"LOSS","TIE")))</f>
        <v>NOT JUDGED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0" t="n">
        <v>20</v>
      </c>
      <c r="D14" s="0" t="n">
        <v>0.3</v>
      </c>
      <c r="E14" s="0" t="n">
        <v>24</v>
      </c>
      <c r="F14" s="0" t="s">
        <v>30</v>
      </c>
      <c r="G14" s="8" t="n">
        <f aca="false">'Echo (tests 2, 3E)'!G20</f>
        <v>0.40169543458278</v>
      </c>
      <c r="H14" s="8" t="n">
        <f aca="false">'Echo (tests 2, 3E)'!H20</f>
        <v>0.00971245037118029</v>
      </c>
      <c r="I14" s="8" t="n">
        <f aca="false">'Echo (tests 2, 3E)'!G21</f>
        <v>0.0964840556009812</v>
      </c>
      <c r="J14" s="8" t="n">
        <f aca="false">'Echo (tests 2, 3E)'!H21</f>
        <v>0.00698151292865016</v>
      </c>
      <c r="K14" s="9" t="n">
        <f aca="false">G14-I14</f>
        <v>0.305211378981799</v>
      </c>
      <c r="L14" s="9" t="n">
        <f aca="false">SQRT(H14^2+J14^2)</f>
        <v>0.0119613216236982</v>
      </c>
      <c r="M14" s="5" t="n">
        <f aca="false">K14/L14</f>
        <v>25.5165263993156</v>
      </c>
      <c r="N14" s="0" t="str">
        <f aca="false">IF(OR(G14&gt;2*H14,I14&gt;2*J14),"yes","no")</f>
        <v>yes</v>
      </c>
      <c r="O14" s="0" t="str">
        <f aca="false">IF(N14="no","NOT JUDGED",IF(K14&gt;2*L14,"WIN",IF(K14&lt;-2*L14,"LOSS","TIE")))</f>
        <v>WIN</v>
      </c>
    </row>
    <row r="15" customFormat="false" ht="15" hidden="false" customHeight="false" outlineLevel="0" collapsed="false">
      <c r="A15" s="0" t="s">
        <v>27</v>
      </c>
      <c r="B15" s="0" t="s">
        <v>28</v>
      </c>
      <c r="C15" s="0" t="n">
        <v>20</v>
      </c>
      <c r="D15" s="0" t="n">
        <v>0.3</v>
      </c>
      <c r="E15" s="0" t="n">
        <v>24</v>
      </c>
      <c r="F15" s="0" t="s">
        <v>31</v>
      </c>
      <c r="G15" s="8" t="n">
        <f aca="false">'Echo (tests 2, 3E)'!G20</f>
        <v>0.40169543458278</v>
      </c>
      <c r="H15" s="8" t="n">
        <f aca="false">'Echo (tests 2, 3E)'!H20</f>
        <v>0.00971245037118029</v>
      </c>
      <c r="I15" s="8" t="n">
        <f aca="false">'Echo (tests 2, 3E)'!G22</f>
        <v>0.016704710520855</v>
      </c>
      <c r="J15" s="8" t="n">
        <f aca="false">'Echo (tests 2, 3E)'!H22</f>
        <v>0.0056385080760873</v>
      </c>
      <c r="K15" s="9" t="n">
        <f aca="false">G15-I15</f>
        <v>0.384990724061925</v>
      </c>
      <c r="L15" s="9" t="n">
        <f aca="false">SQRT(H15^2+J15^2)</f>
        <v>0.0112305149274974</v>
      </c>
      <c r="M15" s="5" t="n">
        <f aca="false">K15/L15</f>
        <v>34.2807722127944</v>
      </c>
      <c r="N15" s="0" t="str">
        <f aca="false">IF(OR(G15&gt;2*H15,I15&gt;2*J15),"yes","no")</f>
        <v>yes</v>
      </c>
      <c r="O15" s="0" t="str">
        <f aca="false">IF(N15="no","NOT JUDGED",IF(K15&gt;2*L15,"WIN",IF(K15&lt;-2*L15,"LOSS","TIE")))</f>
        <v>WIN</v>
      </c>
    </row>
    <row r="16" customFormat="false" ht="15" hidden="false" customHeight="false" outlineLevel="0" collapsed="false">
      <c r="A16" s="0" t="s">
        <v>27</v>
      </c>
      <c r="B16" s="0" t="s">
        <v>28</v>
      </c>
      <c r="C16" s="0" t="n">
        <v>20</v>
      </c>
      <c r="D16" s="0" t="n">
        <v>0.3</v>
      </c>
      <c r="E16" s="0" t="n">
        <v>50</v>
      </c>
      <c r="F16" s="0" t="s">
        <v>30</v>
      </c>
      <c r="G16" s="8" t="n">
        <f aca="false">'Echo (tests 2, 3E)'!G23</f>
        <v>0.0769859514687101</v>
      </c>
      <c r="H16" s="8" t="n">
        <f aca="false">'Echo (tests 2, 3E)'!H23</f>
        <v>0.0076889968093125</v>
      </c>
      <c r="I16" s="8" t="n">
        <f aca="false">'Echo (tests 2, 3E)'!G24</f>
        <v>-0.00781329792666735</v>
      </c>
      <c r="J16" s="8" t="n">
        <f aca="false">'Echo (tests 2, 3E)'!H24</f>
        <v>0.00516846312526593</v>
      </c>
      <c r="K16" s="9" t="n">
        <f aca="false">G16-I16</f>
        <v>0.0847992493953775</v>
      </c>
      <c r="L16" s="9" t="n">
        <f aca="false">SQRT(H16^2+J16^2)</f>
        <v>0.00926464694474925</v>
      </c>
      <c r="M16" s="5" t="n">
        <f aca="false">K16/L16</f>
        <v>9.15299308231466</v>
      </c>
      <c r="N16" s="0" t="str">
        <f aca="false">IF(OR(G16&gt;2*H16,I16&gt;2*J16),"yes","no")</f>
        <v>yes</v>
      </c>
      <c r="O16" s="0" t="str">
        <f aca="false">IF(N16="no","NOT JUDGED",IF(K16&gt;2*L16,"WIN",IF(K16&lt;-2*L16,"LOSS","TIE")))</f>
        <v>WIN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20</v>
      </c>
      <c r="D17" s="0" t="n">
        <v>0.3</v>
      </c>
      <c r="E17" s="0" t="n">
        <v>50</v>
      </c>
      <c r="F17" s="0" t="s">
        <v>31</v>
      </c>
      <c r="G17" s="8" t="n">
        <f aca="false">'Echo (tests 2, 3E)'!G23</f>
        <v>0.0769859514687101</v>
      </c>
      <c r="H17" s="8" t="n">
        <f aca="false">'Echo (tests 2, 3E)'!H23</f>
        <v>0.0076889968093125</v>
      </c>
      <c r="I17" s="8" t="n">
        <f aca="false">'Echo (tests 2, 3E)'!G25</f>
        <v>-0.00767475627463182</v>
      </c>
      <c r="J17" s="8" t="n">
        <f aca="false">'Echo (tests 2, 3E)'!H25</f>
        <v>0.00515938481731036</v>
      </c>
      <c r="K17" s="9" t="n">
        <f aca="false">G17-I17</f>
        <v>0.0846607077433419</v>
      </c>
      <c r="L17" s="9" t="n">
        <f aca="false">SQRT(H17^2+J17^2)</f>
        <v>0.00925958549972463</v>
      </c>
      <c r="M17" s="5" t="n">
        <f aca="false">K17/L17</f>
        <v>9.14303429088264</v>
      </c>
      <c r="N17" s="0" t="str">
        <f aca="false">IF(OR(G17&gt;2*H17,I17&gt;2*J17),"yes","no")</f>
        <v>yes</v>
      </c>
      <c r="O17" s="0" t="str">
        <f aca="false">IF(N17="no","NOT JUDGED",IF(K17&gt;2*L17,"WIN",IF(K17&lt;-2*L17,"LOSS","TIE")))</f>
        <v>WIN</v>
      </c>
    </row>
    <row r="18" customFormat="false" ht="15" hidden="false" customHeight="false" outlineLevel="0" collapsed="false">
      <c r="A18" s="0" t="s">
        <v>27</v>
      </c>
      <c r="B18" s="0" t="s">
        <v>28</v>
      </c>
      <c r="C18" s="0" t="n">
        <v>20</v>
      </c>
      <c r="D18" s="0" t="n">
        <v>0.3</v>
      </c>
      <c r="E18" s="0" t="n">
        <v>100</v>
      </c>
      <c r="F18" s="0" t="s">
        <v>30</v>
      </c>
      <c r="G18" s="8" t="n">
        <f aca="false">'Echo (tests 2, 3E)'!G26</f>
        <v>0.0011233660130719</v>
      </c>
      <c r="H18" s="8" t="n">
        <f aca="false">'Echo (tests 2, 3E)'!H26</f>
        <v>0.00537800879393802</v>
      </c>
      <c r="I18" s="8" t="n">
        <f aca="false">'Echo (tests 2, 3E)'!G27</f>
        <v>-0.00307188203972967</v>
      </c>
      <c r="J18" s="8" t="n">
        <f aca="false">'Echo (tests 2, 3E)'!H27</f>
        <v>0.00522873579980833</v>
      </c>
      <c r="K18" s="9" t="n">
        <f aca="false">G18-I18</f>
        <v>0.00419524805280157</v>
      </c>
      <c r="L18" s="9" t="n">
        <f aca="false">SQRT(H18^2+J18^2)</f>
        <v>0.00750084372933285</v>
      </c>
      <c r="M18" s="5" t="n">
        <f aca="false">K18/L18</f>
        <v>0.559303486939157</v>
      </c>
      <c r="N18" s="0" t="str">
        <f aca="false">IF(OR(G18&gt;2*H18,I18&gt;2*J18),"yes","no")</f>
        <v>no</v>
      </c>
      <c r="O18" s="0" t="str">
        <f aca="false">IF(N18="no","NOT JUDGED",IF(K18&gt;2*L18,"WIN",IF(K18&lt;-2*L18,"LOSS","TIE")))</f>
        <v>NOT JUDGED</v>
      </c>
    </row>
    <row r="19" customFormat="false" ht="15" hidden="false" customHeight="false" outlineLevel="0" collapsed="false">
      <c r="A19" s="0" t="s">
        <v>27</v>
      </c>
      <c r="B19" s="0" t="s">
        <v>28</v>
      </c>
      <c r="C19" s="0" t="n">
        <v>20</v>
      </c>
      <c r="D19" s="0" t="n">
        <v>0.3</v>
      </c>
      <c r="E19" s="0" t="n">
        <v>100</v>
      </c>
      <c r="F19" s="0" t="s">
        <v>31</v>
      </c>
      <c r="G19" s="8" t="n">
        <f aca="false">'Echo (tests 2, 3E)'!G26</f>
        <v>0.0011233660130719</v>
      </c>
      <c r="H19" s="8" t="n">
        <f aca="false">'Echo (tests 2, 3E)'!H26</f>
        <v>0.00537800879393802</v>
      </c>
      <c r="I19" s="8" t="n">
        <f aca="false">'Echo (tests 2, 3E)'!G28</f>
        <v>0.0127500777443765</v>
      </c>
      <c r="J19" s="8" t="n">
        <f aca="false">'Echo (tests 2, 3E)'!H28</f>
        <v>0.00516898857553642</v>
      </c>
      <c r="K19" s="9" t="n">
        <f aca="false">G19-I19</f>
        <v>-0.0116267117313046</v>
      </c>
      <c r="L19" s="9" t="n">
        <f aca="false">SQRT(H19^2+J19^2)</f>
        <v>0.00745931776248343</v>
      </c>
      <c r="M19" s="5" t="n">
        <f aca="false">K19/L19</f>
        <v>-1.55868299240194</v>
      </c>
      <c r="N19" s="0" t="str">
        <f aca="false">IF(OR(G19&gt;2*H19,I19&gt;2*J19),"yes","no")</f>
        <v>yes</v>
      </c>
      <c r="O19" s="0" t="str">
        <f aca="false">IF(N19="no","NOT JUDGED",IF(K19&gt;2*L19,"WIN",IF(K19&lt;-2*L19,"LOSS","TIE")))</f>
        <v>TIE</v>
      </c>
    </row>
    <row r="20" customFormat="false" ht="15" hidden="false" customHeight="false" outlineLevel="0" collapsed="false">
      <c r="A20" s="0" t="s">
        <v>27</v>
      </c>
      <c r="B20" s="0" t="s">
        <v>28</v>
      </c>
      <c r="C20" s="0" t="n">
        <v>36</v>
      </c>
      <c r="D20" s="0" t="n">
        <v>0</v>
      </c>
      <c r="E20" s="0" t="n">
        <v>24</v>
      </c>
      <c r="F20" s="0" t="s">
        <v>30</v>
      </c>
      <c r="G20" s="8" t="n">
        <f aca="false">'Echo (tests 2, 3E)'!G29</f>
        <v>0.426208359612407</v>
      </c>
      <c r="H20" s="8" t="n">
        <f aca="false">'Echo (tests 2, 3E)'!H29</f>
        <v>0.00805323001424567</v>
      </c>
      <c r="I20" s="8" t="n">
        <f aca="false">'Echo (tests 2, 3E)'!G30</f>
        <v>0.0950430972767103</v>
      </c>
      <c r="J20" s="8" t="n">
        <f aca="false">'Echo (tests 2, 3E)'!H30</f>
        <v>0.00565805103911965</v>
      </c>
      <c r="K20" s="9" t="n">
        <f aca="false">G20-I20</f>
        <v>0.331165262335697</v>
      </c>
      <c r="L20" s="9" t="n">
        <f aca="false">SQRT(H20^2+J20^2)</f>
        <v>0.00984215704119937</v>
      </c>
      <c r="M20" s="5" t="n">
        <f aca="false">K20/L20</f>
        <v>33.6476303872653</v>
      </c>
      <c r="N20" s="0" t="str">
        <f aca="false">IF(OR(G20&gt;2*H20,I20&gt;2*J20),"yes","no")</f>
        <v>yes</v>
      </c>
      <c r="O20" s="0" t="str">
        <f aca="false">IF(N20="no","NOT JUDGED",IF(K20&gt;2*L20,"WIN",IF(K20&lt;-2*L20,"LOSS","TIE")))</f>
        <v>WIN</v>
      </c>
    </row>
    <row r="21" customFormat="false" ht="15" hidden="false" customHeight="false" outlineLevel="0" collapsed="false">
      <c r="A21" s="0" t="s">
        <v>27</v>
      </c>
      <c r="B21" s="0" t="s">
        <v>28</v>
      </c>
      <c r="C21" s="0" t="n">
        <v>36</v>
      </c>
      <c r="D21" s="0" t="n">
        <v>0</v>
      </c>
      <c r="E21" s="0" t="n">
        <v>24</v>
      </c>
      <c r="F21" s="0" t="s">
        <v>31</v>
      </c>
      <c r="G21" s="8" t="n">
        <f aca="false">'Echo (tests 2, 3E)'!G29</f>
        <v>0.426208359612407</v>
      </c>
      <c r="H21" s="8" t="n">
        <f aca="false">'Echo (tests 2, 3E)'!H29</f>
        <v>0.00805323001424567</v>
      </c>
      <c r="I21" s="8" t="n">
        <f aca="false">'Echo (tests 2, 3E)'!G31</f>
        <v>0.00992903742703446</v>
      </c>
      <c r="J21" s="8" t="n">
        <f aca="false">'Echo (tests 2, 3E)'!H31</f>
        <v>0.00433367312504825</v>
      </c>
      <c r="K21" s="9" t="n">
        <f aca="false">G21-I21</f>
        <v>0.416279322185373</v>
      </c>
      <c r="L21" s="9" t="n">
        <f aca="false">SQRT(H21^2+J21^2)</f>
        <v>0.00914523025500795</v>
      </c>
      <c r="M21" s="5" t="n">
        <f aca="false">K21/L21</f>
        <v>45.5187360599715</v>
      </c>
      <c r="N21" s="0" t="str">
        <f aca="false">IF(OR(G21&gt;2*H21,I21&gt;2*J21),"yes","no")</f>
        <v>yes</v>
      </c>
      <c r="O21" s="0" t="str">
        <f aca="false">IF(N21="no","NOT JUDGED",IF(K21&gt;2*L21,"WIN",IF(K21&lt;-2*L21,"LOSS","TIE")))</f>
        <v>WIN</v>
      </c>
    </row>
    <row r="22" customFormat="false" ht="15" hidden="false" customHeight="false" outlineLevel="0" collapsed="false">
      <c r="A22" s="0" t="s">
        <v>27</v>
      </c>
      <c r="B22" s="0" t="s">
        <v>28</v>
      </c>
      <c r="C22" s="0" t="n">
        <v>36</v>
      </c>
      <c r="D22" s="0" t="n">
        <v>0</v>
      </c>
      <c r="E22" s="0" t="n">
        <v>50</v>
      </c>
      <c r="F22" s="0" t="s">
        <v>30</v>
      </c>
      <c r="G22" s="8" t="n">
        <f aca="false">'Echo (tests 2, 3E)'!G32</f>
        <v>0.0570471719716052</v>
      </c>
      <c r="H22" s="8" t="n">
        <f aca="false">'Echo (tests 2, 3E)'!H32</f>
        <v>0.00634982364753519</v>
      </c>
      <c r="I22" s="8" t="n">
        <f aca="false">'Echo (tests 2, 3E)'!G33</f>
        <v>0.00214795085488444</v>
      </c>
      <c r="J22" s="8" t="n">
        <f aca="false">'Echo (tests 2, 3E)'!H33</f>
        <v>0.00403216947315115</v>
      </c>
      <c r="K22" s="9" t="n">
        <f aca="false">G22-I22</f>
        <v>0.0548992211167208</v>
      </c>
      <c r="L22" s="9" t="n">
        <f aca="false">SQRT(H22^2+J22^2)</f>
        <v>0.00752187815741581</v>
      </c>
      <c r="M22" s="5" t="n">
        <f aca="false">K22/L22</f>
        <v>7.29860547695733</v>
      </c>
      <c r="N22" s="0" t="str">
        <f aca="false">IF(OR(G22&gt;2*H22,I22&gt;2*J22),"yes","no")</f>
        <v>yes</v>
      </c>
      <c r="O22" s="0" t="str">
        <f aca="false">IF(N22="no","NOT JUDGED",IF(K22&gt;2*L22,"WIN",IF(K22&lt;-2*L22,"LOSS","TIE")))</f>
        <v>WIN</v>
      </c>
    </row>
    <row r="23" customFormat="false" ht="15" hidden="false" customHeight="false" outlineLevel="0" collapsed="false">
      <c r="A23" s="0" t="s">
        <v>27</v>
      </c>
      <c r="B23" s="0" t="s">
        <v>28</v>
      </c>
      <c r="C23" s="0" t="n">
        <v>36</v>
      </c>
      <c r="D23" s="0" t="n">
        <v>0</v>
      </c>
      <c r="E23" s="0" t="n">
        <v>50</v>
      </c>
      <c r="F23" s="0" t="s">
        <v>31</v>
      </c>
      <c r="G23" s="8" t="n">
        <f aca="false">'Echo (tests 2, 3E)'!G32</f>
        <v>0.0570471719716052</v>
      </c>
      <c r="H23" s="8" t="n">
        <f aca="false">'Echo (tests 2, 3E)'!H32</f>
        <v>0.00634982364753519</v>
      </c>
      <c r="I23" s="8" t="n">
        <f aca="false">'Echo (tests 2, 3E)'!G34</f>
        <v>-0.003465559215237</v>
      </c>
      <c r="J23" s="8" t="n">
        <f aca="false">'Echo (tests 2, 3E)'!H34</f>
        <v>0.00377616601857204</v>
      </c>
      <c r="K23" s="9" t="n">
        <f aca="false">G23-I23</f>
        <v>0.0605127311868422</v>
      </c>
      <c r="L23" s="9" t="n">
        <f aca="false">SQRT(H23^2+J23^2)</f>
        <v>0.00738780685688353</v>
      </c>
      <c r="M23" s="5" t="n">
        <f aca="false">K23/L23</f>
        <v>8.19089242032092</v>
      </c>
      <c r="N23" s="0" t="str">
        <f aca="false">IF(OR(G23&gt;2*H23,I23&gt;2*J23),"yes","no")</f>
        <v>yes</v>
      </c>
      <c r="O23" s="0" t="str">
        <f aca="false">IF(N23="no","NOT JUDGED",IF(K23&gt;2*L23,"WIN",IF(K23&lt;-2*L23,"LOSS","TIE")))</f>
        <v>WIN</v>
      </c>
    </row>
    <row r="24" customFormat="false" ht="15" hidden="false" customHeight="false" outlineLevel="0" collapsed="false">
      <c r="A24" s="0" t="s">
        <v>27</v>
      </c>
      <c r="B24" s="0" t="s">
        <v>28</v>
      </c>
      <c r="C24" s="0" t="n">
        <v>36</v>
      </c>
      <c r="D24" s="0" t="n">
        <v>0</v>
      </c>
      <c r="E24" s="0" t="n">
        <v>100</v>
      </c>
      <c r="F24" s="0" t="s">
        <v>30</v>
      </c>
      <c r="G24" s="8" t="n">
        <f aca="false">'Echo (tests 2, 3E)'!G35</f>
        <v>0.00432850795470833</v>
      </c>
      <c r="H24" s="8" t="n">
        <f aca="false">'Echo (tests 2, 3E)'!H35</f>
        <v>0.00447403151154932</v>
      </c>
      <c r="I24" s="8" t="n">
        <f aca="false">'Echo (tests 2, 3E)'!G36</f>
        <v>-0.0038666437532222</v>
      </c>
      <c r="J24" s="8" t="n">
        <f aca="false">'Echo (tests 2, 3E)'!H36</f>
        <v>0.00381613524083809</v>
      </c>
      <c r="K24" s="9" t="n">
        <f aca="false">G24-I24</f>
        <v>0.00819515170793053</v>
      </c>
      <c r="L24" s="9" t="n">
        <f aca="false">SQRT(H24^2+J24^2)</f>
        <v>0.005880463089137</v>
      </c>
      <c r="M24" s="5" t="n">
        <f aca="false">K24/L24</f>
        <v>1.39362352653305</v>
      </c>
      <c r="N24" s="0" t="str">
        <f aca="false">IF(OR(G24&gt;2*H24,I24&gt;2*J24),"yes","no")</f>
        <v>no</v>
      </c>
      <c r="O24" s="0" t="str">
        <f aca="false">IF(N24="no","NOT JUDGED",IF(K24&gt;2*L24,"WIN",IF(K24&lt;-2*L24,"LOSS","TIE")))</f>
        <v>NOT JUDGED</v>
      </c>
    </row>
    <row r="25" customFormat="false" ht="15" hidden="false" customHeight="false" outlineLevel="0" collapsed="false">
      <c r="A25" s="0" t="s">
        <v>27</v>
      </c>
      <c r="B25" s="0" t="s">
        <v>28</v>
      </c>
      <c r="C25" s="0" t="n">
        <v>36</v>
      </c>
      <c r="D25" s="0" t="n">
        <v>0</v>
      </c>
      <c r="E25" s="0" t="n">
        <v>100</v>
      </c>
      <c r="F25" s="0" t="s">
        <v>31</v>
      </c>
      <c r="G25" s="8" t="n">
        <f aca="false">'Echo (tests 2, 3E)'!G35</f>
        <v>0.00432850795470833</v>
      </c>
      <c r="H25" s="8" t="n">
        <f aca="false">'Echo (tests 2, 3E)'!H35</f>
        <v>0.00447403151154932</v>
      </c>
      <c r="I25" s="8" t="n">
        <f aca="false">'Echo (tests 2, 3E)'!G37</f>
        <v>-0.00302701467816551</v>
      </c>
      <c r="J25" s="8" t="n">
        <f aca="false">'Echo (tests 2, 3E)'!H37</f>
        <v>0.00390765500272763</v>
      </c>
      <c r="K25" s="9" t="n">
        <f aca="false">G25-I25</f>
        <v>0.00735552263287384</v>
      </c>
      <c r="L25" s="9" t="n">
        <f aca="false">SQRT(H25^2+J25^2)</f>
        <v>0.00594026309069544</v>
      </c>
      <c r="M25" s="5" t="n">
        <f aca="false">K25/L25</f>
        <v>1.2382486298284</v>
      </c>
      <c r="N25" s="0" t="str">
        <f aca="false">IF(OR(G25&gt;2*H25,I25&gt;2*J25),"yes","no")</f>
        <v>no</v>
      </c>
      <c r="O25" s="0" t="str">
        <f aca="false">IF(N25="no","NOT JUDGED",IF(K25&gt;2*L25,"WIN",IF(K25&lt;-2*L25,"LOSS","TIE")))</f>
        <v>NOT JUDGED</v>
      </c>
    </row>
    <row r="26" customFormat="false" ht="15" hidden="false" customHeight="false" outlineLevel="0" collapsed="false">
      <c r="A26" s="0" t="s">
        <v>27</v>
      </c>
      <c r="B26" s="0" t="s">
        <v>28</v>
      </c>
      <c r="C26" s="0" t="n">
        <v>36</v>
      </c>
      <c r="D26" s="0" t="n">
        <v>0.1</v>
      </c>
      <c r="E26" s="0" t="n">
        <v>24</v>
      </c>
      <c r="F26" s="0" t="s">
        <v>30</v>
      </c>
      <c r="G26" s="8" t="n">
        <f aca="false">'Echo (tests 2, 3E)'!G38</f>
        <v>0.436080114449213</v>
      </c>
      <c r="H26" s="8" t="n">
        <f aca="false">'Echo (tests 2, 3E)'!H38</f>
        <v>0.00766874836155116</v>
      </c>
      <c r="I26" s="8" t="n">
        <f aca="false">'Echo (tests 2, 3E)'!G39</f>
        <v>0.111384721108693</v>
      </c>
      <c r="J26" s="8" t="n">
        <f aca="false">'Echo (tests 2, 3E)'!H39</f>
        <v>0.00577166929758726</v>
      </c>
      <c r="K26" s="9" t="n">
        <f aca="false">G26-I26</f>
        <v>0.32469539334052</v>
      </c>
      <c r="L26" s="9" t="n">
        <f aca="false">SQRT(H26^2+J26^2)</f>
        <v>0.00959801374834945</v>
      </c>
      <c r="M26" s="5" t="n">
        <f aca="false">K26/L26</f>
        <v>33.8294361577006</v>
      </c>
      <c r="N26" s="0" t="str">
        <f aca="false">IF(OR(G26&gt;2*H26,I26&gt;2*J26),"yes","no")</f>
        <v>yes</v>
      </c>
      <c r="O26" s="0" t="str">
        <f aca="false">IF(N26="no","NOT JUDGED",IF(K26&gt;2*L26,"WIN",IF(K26&lt;-2*L26,"LOSS","TIE")))</f>
        <v>WIN</v>
      </c>
    </row>
    <row r="27" customFormat="false" ht="15" hidden="false" customHeight="false" outlineLevel="0" collapsed="false">
      <c r="A27" s="0" t="s">
        <v>27</v>
      </c>
      <c r="B27" s="0" t="s">
        <v>28</v>
      </c>
      <c r="C27" s="0" t="n">
        <v>36</v>
      </c>
      <c r="D27" s="0" t="n">
        <v>0.1</v>
      </c>
      <c r="E27" s="0" t="n">
        <v>24</v>
      </c>
      <c r="F27" s="0" t="s">
        <v>31</v>
      </c>
      <c r="G27" s="8" t="n">
        <f aca="false">'Echo (tests 2, 3E)'!G38</f>
        <v>0.436080114449213</v>
      </c>
      <c r="H27" s="8" t="n">
        <f aca="false">'Echo (tests 2, 3E)'!H38</f>
        <v>0.00766874836155116</v>
      </c>
      <c r="I27" s="8" t="n">
        <f aca="false">'Echo (tests 2, 3E)'!G40</f>
        <v>-0.00297440297440297</v>
      </c>
      <c r="J27" s="8" t="n">
        <f aca="false">'Echo (tests 2, 3E)'!H40</f>
        <v>0.00418799535319426</v>
      </c>
      <c r="K27" s="9" t="n">
        <f aca="false">G27-I27</f>
        <v>0.439054517423616</v>
      </c>
      <c r="L27" s="9" t="n">
        <f aca="false">SQRT(H27^2+J27^2)</f>
        <v>0.00873779185556456</v>
      </c>
      <c r="M27" s="5" t="n">
        <f aca="false">K27/L27</f>
        <v>50.2477656461923</v>
      </c>
      <c r="N27" s="0" t="str">
        <f aca="false">IF(OR(G27&gt;2*H27,I27&gt;2*J27),"yes","no")</f>
        <v>yes</v>
      </c>
      <c r="O27" s="0" t="str">
        <f aca="false">IF(N27="no","NOT JUDGED",IF(K27&gt;2*L27,"WIN",IF(K27&lt;-2*L27,"LOSS","TIE")))</f>
        <v>WIN</v>
      </c>
    </row>
    <row r="28" customFormat="false" ht="15" hidden="false" customHeight="false" outlineLevel="0" collapsed="false">
      <c r="A28" s="0" t="s">
        <v>27</v>
      </c>
      <c r="B28" s="0" t="s">
        <v>28</v>
      </c>
      <c r="C28" s="0" t="n">
        <v>36</v>
      </c>
      <c r="D28" s="0" t="n">
        <v>0.1</v>
      </c>
      <c r="E28" s="0" t="n">
        <v>50</v>
      </c>
      <c r="F28" s="0" t="s">
        <v>30</v>
      </c>
      <c r="G28" s="8" t="n">
        <f aca="false">'Echo (tests 2, 3E)'!G41</f>
        <v>0.0622848290107872</v>
      </c>
      <c r="H28" s="8" t="n">
        <f aca="false">'Echo (tests 2, 3E)'!H41</f>
        <v>0.00589819024449968</v>
      </c>
      <c r="I28" s="8" t="n">
        <f aca="false">'Echo (tests 2, 3E)'!G42</f>
        <v>-0.000343741048410198</v>
      </c>
      <c r="J28" s="8" t="n">
        <f aca="false">'Echo (tests 2, 3E)'!H42</f>
        <v>0.00400131622416543</v>
      </c>
      <c r="K28" s="9" t="n">
        <f aca="false">G28-I28</f>
        <v>0.0626285700591974</v>
      </c>
      <c r="L28" s="9" t="n">
        <f aca="false">SQRT(H28^2+J28^2)</f>
        <v>0.00712735432584074</v>
      </c>
      <c r="M28" s="5" t="n">
        <f aca="false">K28/L28</f>
        <v>8.78707121829667</v>
      </c>
      <c r="N28" s="0" t="str">
        <f aca="false">IF(OR(G28&gt;2*H28,I28&gt;2*J28),"yes","no")</f>
        <v>yes</v>
      </c>
      <c r="O28" s="0" t="str">
        <f aca="false">IF(N28="no","NOT JUDGED",IF(K28&gt;2*L28,"WIN",IF(K28&lt;-2*L28,"LOSS","TIE")))</f>
        <v>WIN</v>
      </c>
    </row>
    <row r="29" customFormat="false" ht="15" hidden="false" customHeight="false" outlineLevel="0" collapsed="false">
      <c r="A29" s="0" t="s">
        <v>27</v>
      </c>
      <c r="B29" s="0" t="s">
        <v>28</v>
      </c>
      <c r="C29" s="0" t="n">
        <v>36</v>
      </c>
      <c r="D29" s="0" t="n">
        <v>0.1</v>
      </c>
      <c r="E29" s="0" t="n">
        <v>50</v>
      </c>
      <c r="F29" s="0" t="s">
        <v>31</v>
      </c>
      <c r="G29" s="8" t="n">
        <f aca="false">'Echo (tests 2, 3E)'!G41</f>
        <v>0.0622848290107872</v>
      </c>
      <c r="H29" s="8" t="n">
        <f aca="false">'Echo (tests 2, 3E)'!H41</f>
        <v>0.00589819024449968</v>
      </c>
      <c r="I29" s="8" t="n">
        <f aca="false">'Echo (tests 2, 3E)'!G43</f>
        <v>-0.00180412371134021</v>
      </c>
      <c r="J29" s="8" t="n">
        <f aca="false">'Echo (tests 2, 3E)'!H43</f>
        <v>0.00386553931637617</v>
      </c>
      <c r="K29" s="9" t="n">
        <f aca="false">G29-I29</f>
        <v>0.0640889527221274</v>
      </c>
      <c r="L29" s="9" t="n">
        <f aca="false">SQRT(H29^2+J29^2)</f>
        <v>0.00705202399079592</v>
      </c>
      <c r="M29" s="5" t="n">
        <f aca="false">K29/L29</f>
        <v>9.08802250329471</v>
      </c>
      <c r="N29" s="0" t="str">
        <f aca="false">IF(OR(G29&gt;2*H29,I29&gt;2*J29),"yes","no")</f>
        <v>yes</v>
      </c>
      <c r="O29" s="0" t="str">
        <f aca="false">IF(N29="no","NOT JUDGED",IF(K29&gt;2*L29,"WIN",IF(K29&lt;-2*L29,"LOSS","TIE")))</f>
        <v>WIN</v>
      </c>
    </row>
    <row r="30" customFormat="false" ht="15" hidden="false" customHeight="false" outlineLevel="0" collapsed="false">
      <c r="A30" s="0" t="s">
        <v>27</v>
      </c>
      <c r="B30" s="0" t="s">
        <v>28</v>
      </c>
      <c r="C30" s="0" t="n">
        <v>36</v>
      </c>
      <c r="D30" s="0" t="n">
        <v>0.1</v>
      </c>
      <c r="E30" s="0" t="n">
        <v>100</v>
      </c>
      <c r="F30" s="0" t="s">
        <v>30</v>
      </c>
      <c r="G30" s="8" t="n">
        <f aca="false">'Echo (tests 2, 3E)'!G44</f>
        <v>0.000257599175682638</v>
      </c>
      <c r="H30" s="8" t="n">
        <f aca="false">'Echo (tests 2, 3E)'!H44</f>
        <v>0.00432458627350233</v>
      </c>
      <c r="I30" s="8" t="n">
        <f aca="false">'Echo (tests 2, 3E)'!G45</f>
        <v>-0.00590579398526419</v>
      </c>
      <c r="J30" s="8" t="n">
        <f aca="false">'Echo (tests 2, 3E)'!H45</f>
        <v>0.00386783138310085</v>
      </c>
      <c r="K30" s="9" t="n">
        <f aca="false">G30-I30</f>
        <v>0.00616339316094682</v>
      </c>
      <c r="L30" s="9" t="n">
        <f aca="false">SQRT(H30^2+J30^2)</f>
        <v>0.00580191055128089</v>
      </c>
      <c r="M30" s="5" t="n">
        <f aca="false">K30/L30</f>
        <v>1.06230406457854</v>
      </c>
      <c r="N30" s="0" t="str">
        <f aca="false">IF(OR(G30&gt;2*H30,I30&gt;2*J30),"yes","no")</f>
        <v>no</v>
      </c>
      <c r="O30" s="0" t="str">
        <f aca="false">IF(N30="no","NOT JUDGED",IF(K30&gt;2*L30,"WIN",IF(K30&lt;-2*L30,"LOSS","TIE")))</f>
        <v>NOT JUDGED</v>
      </c>
    </row>
    <row r="31" customFormat="false" ht="15" hidden="false" customHeight="false" outlineLevel="0" collapsed="false">
      <c r="A31" s="0" t="s">
        <v>27</v>
      </c>
      <c r="B31" s="0" t="s">
        <v>28</v>
      </c>
      <c r="C31" s="0" t="n">
        <v>36</v>
      </c>
      <c r="D31" s="0" t="n">
        <v>0.1</v>
      </c>
      <c r="E31" s="0" t="n">
        <v>100</v>
      </c>
      <c r="F31" s="0" t="s">
        <v>31</v>
      </c>
      <c r="G31" s="8" t="n">
        <f aca="false">'Echo (tests 2, 3E)'!G44</f>
        <v>0.000257599175682638</v>
      </c>
      <c r="H31" s="8" t="n">
        <f aca="false">'Echo (tests 2, 3E)'!H44</f>
        <v>0.00432458627350233</v>
      </c>
      <c r="I31" s="8" t="n">
        <f aca="false">'Echo (tests 2, 3E)'!G46</f>
        <v>-0.00540525081507751</v>
      </c>
      <c r="J31" s="8" t="n">
        <f aca="false">'Echo (tests 2, 3E)'!H46</f>
        <v>0.00382573671246949</v>
      </c>
      <c r="K31" s="9" t="n">
        <f aca="false">G31-I31</f>
        <v>0.00566284999076014</v>
      </c>
      <c r="L31" s="9" t="n">
        <f aca="false">SQRT(H31^2+J31^2)</f>
        <v>0.00577393347988194</v>
      </c>
      <c r="M31" s="5" t="n">
        <f aca="false">K31/L31</f>
        <v>0.980761210791769</v>
      </c>
      <c r="N31" s="0" t="str">
        <f aca="false">IF(OR(G31&gt;2*H31,I31&gt;2*J31),"yes","no")</f>
        <v>no</v>
      </c>
      <c r="O31" s="0" t="str">
        <f aca="false">IF(N31="no","NOT JUDGED",IF(K31&gt;2*L31,"WIN",IF(K31&lt;-2*L31,"LOSS","TIE")))</f>
        <v>NOT JUDGED</v>
      </c>
    </row>
    <row r="32" customFormat="false" ht="15" hidden="false" customHeight="false" outlineLevel="0" collapsed="false">
      <c r="A32" s="0" t="s">
        <v>27</v>
      </c>
      <c r="B32" s="0" t="s">
        <v>28</v>
      </c>
      <c r="C32" s="0" t="n">
        <v>36</v>
      </c>
      <c r="D32" s="0" t="n">
        <v>0.3</v>
      </c>
      <c r="E32" s="0" t="n">
        <v>24</v>
      </c>
      <c r="F32" s="0" t="s">
        <v>30</v>
      </c>
      <c r="G32" s="8" t="n">
        <f aca="false">'Echo (tests 2, 3E)'!G47</f>
        <v>0.438258529883215</v>
      </c>
      <c r="H32" s="8" t="n">
        <f aca="false">'Echo (tests 2, 3E)'!H47</f>
        <v>0.00719236097706989</v>
      </c>
      <c r="I32" s="8" t="n">
        <f aca="false">'Echo (tests 2, 3E)'!G48</f>
        <v>0.104148177836306</v>
      </c>
      <c r="J32" s="8" t="n">
        <f aca="false">'Echo (tests 2, 3E)'!H48</f>
        <v>0.00512404904347638</v>
      </c>
      <c r="K32" s="9" t="n">
        <f aca="false">G32-I32</f>
        <v>0.334110352046909</v>
      </c>
      <c r="L32" s="9" t="n">
        <f aca="false">SQRT(H32^2+J32^2)</f>
        <v>0.00883096455798736</v>
      </c>
      <c r="M32" s="5" t="n">
        <f aca="false">K32/L32</f>
        <v>37.8339591165855</v>
      </c>
      <c r="N32" s="0" t="str">
        <f aca="false">IF(OR(G32&gt;2*H32,I32&gt;2*J32),"yes","no")</f>
        <v>yes</v>
      </c>
      <c r="O32" s="0" t="str">
        <f aca="false">IF(N32="no","NOT JUDGED",IF(K32&gt;2*L32,"WIN",IF(K32&lt;-2*L32,"LOSS","TIE")))</f>
        <v>WIN</v>
      </c>
    </row>
    <row r="33" customFormat="false" ht="15" hidden="false" customHeight="false" outlineLevel="0" collapsed="false">
      <c r="A33" s="0" t="s">
        <v>27</v>
      </c>
      <c r="B33" s="0" t="s">
        <v>28</v>
      </c>
      <c r="C33" s="0" t="n">
        <v>36</v>
      </c>
      <c r="D33" s="0" t="n">
        <v>0.3</v>
      </c>
      <c r="E33" s="0" t="n">
        <v>24</v>
      </c>
      <c r="F33" s="0" t="s">
        <v>31</v>
      </c>
      <c r="G33" s="8" t="n">
        <f aca="false">'Echo (tests 2, 3E)'!G47</f>
        <v>0.438258529883215</v>
      </c>
      <c r="H33" s="8" t="n">
        <f aca="false">'Echo (tests 2, 3E)'!H47</f>
        <v>0.00719236097706989</v>
      </c>
      <c r="I33" s="8" t="n">
        <f aca="false">'Echo (tests 2, 3E)'!G49</f>
        <v>0.00449611959105358</v>
      </c>
      <c r="J33" s="8" t="n">
        <f aca="false">'Echo (tests 2, 3E)'!H49</f>
        <v>0.00408446025611372</v>
      </c>
      <c r="K33" s="9" t="n">
        <f aca="false">G33-I33</f>
        <v>0.433762410292161</v>
      </c>
      <c r="L33" s="9" t="n">
        <f aca="false">SQRT(H33^2+J33^2)</f>
        <v>0.00827120740933573</v>
      </c>
      <c r="M33" s="5" t="n">
        <f aca="false">K33/L33</f>
        <v>52.4424535410118</v>
      </c>
      <c r="N33" s="0" t="str">
        <f aca="false">IF(OR(G33&gt;2*H33,I33&gt;2*J33),"yes","no")</f>
        <v>yes</v>
      </c>
      <c r="O33" s="0" t="str">
        <f aca="false">IF(N33="no","NOT JUDGED",IF(K33&gt;2*L33,"WIN",IF(K33&lt;-2*L33,"LOSS","TIE")))</f>
        <v>WIN</v>
      </c>
    </row>
    <row r="34" customFormat="false" ht="15" hidden="false" customHeight="false" outlineLevel="0" collapsed="false">
      <c r="A34" s="0" t="s">
        <v>27</v>
      </c>
      <c r="B34" s="0" t="s">
        <v>28</v>
      </c>
      <c r="C34" s="0" t="n">
        <v>36</v>
      </c>
      <c r="D34" s="0" t="n">
        <v>0.3</v>
      </c>
      <c r="E34" s="0" t="n">
        <v>50</v>
      </c>
      <c r="F34" s="0" t="s">
        <v>30</v>
      </c>
      <c r="G34" s="8" t="n">
        <f aca="false">'Echo (tests 2, 3E)'!G50</f>
        <v>0.0483570630532558</v>
      </c>
      <c r="H34" s="8" t="n">
        <f aca="false">'Echo (tests 2, 3E)'!H50</f>
        <v>0.0052381422683616</v>
      </c>
      <c r="I34" s="8" t="n">
        <f aca="false">'Echo (tests 2, 3E)'!G51</f>
        <v>-0.00226140722505296</v>
      </c>
      <c r="J34" s="8" t="n">
        <f aca="false">'Echo (tests 2, 3E)'!H51</f>
        <v>0.00389073733793008</v>
      </c>
      <c r="K34" s="9" t="n">
        <f aca="false">G34-I34</f>
        <v>0.0506184702783087</v>
      </c>
      <c r="L34" s="9" t="n">
        <f aca="false">SQRT(H34^2+J34^2)</f>
        <v>0.00652502654832604</v>
      </c>
      <c r="M34" s="5" t="n">
        <f aca="false">K34/L34</f>
        <v>7.7575884026548</v>
      </c>
      <c r="N34" s="0" t="str">
        <f aca="false">IF(OR(G34&gt;2*H34,I34&gt;2*J34),"yes","no")</f>
        <v>yes</v>
      </c>
      <c r="O34" s="0" t="str">
        <f aca="false">IF(N34="no","NOT JUDGED",IF(K34&gt;2*L34,"WIN",IF(K34&lt;-2*L34,"LOSS","TIE")))</f>
        <v>WIN</v>
      </c>
    </row>
    <row r="35" customFormat="false" ht="15" hidden="false" customHeight="false" outlineLevel="0" collapsed="false">
      <c r="A35" s="0" t="s">
        <v>27</v>
      </c>
      <c r="B35" s="0" t="s">
        <v>28</v>
      </c>
      <c r="C35" s="0" t="n">
        <v>36</v>
      </c>
      <c r="D35" s="0" t="n">
        <v>0.3</v>
      </c>
      <c r="E35" s="0" t="n">
        <v>50</v>
      </c>
      <c r="F35" s="0" t="s">
        <v>31</v>
      </c>
      <c r="G35" s="8" t="n">
        <f aca="false">'Echo (tests 2, 3E)'!G50</f>
        <v>0.0483570630532558</v>
      </c>
      <c r="H35" s="8" t="n">
        <f aca="false">'Echo (tests 2, 3E)'!H50</f>
        <v>0.0052381422683616</v>
      </c>
      <c r="I35" s="8" t="n">
        <f aca="false">'Echo (tests 2, 3E)'!G52</f>
        <v>0.00294597145553871</v>
      </c>
      <c r="J35" s="8" t="n">
        <f aca="false">'Echo (tests 2, 3E)'!H52</f>
        <v>0.00388721106525227</v>
      </c>
      <c r="K35" s="9" t="n">
        <f aca="false">G35-I35</f>
        <v>0.0454110915977171</v>
      </c>
      <c r="L35" s="9" t="n">
        <f aca="false">SQRT(H35^2+J35^2)</f>
        <v>0.00652292451967797</v>
      </c>
      <c r="M35" s="5" t="n">
        <f aca="false">K35/L35</f>
        <v>6.96176867610894</v>
      </c>
      <c r="N35" s="0" t="str">
        <f aca="false">IF(OR(G35&gt;2*H35,I35&gt;2*J35),"yes","no")</f>
        <v>yes</v>
      </c>
      <c r="O35" s="0" t="str">
        <f aca="false">IF(N35="no","NOT JUDGED",IF(K35&gt;2*L35,"WIN",IF(K35&lt;-2*L35,"LOSS","TIE")))</f>
        <v>WIN</v>
      </c>
    </row>
    <row r="36" customFormat="false" ht="15" hidden="false" customHeight="false" outlineLevel="0" collapsed="false">
      <c r="A36" s="0" t="s">
        <v>27</v>
      </c>
      <c r="B36" s="0" t="s">
        <v>28</v>
      </c>
      <c r="C36" s="0" t="n">
        <v>36</v>
      </c>
      <c r="D36" s="0" t="n">
        <v>0.3</v>
      </c>
      <c r="E36" s="0" t="n">
        <v>100</v>
      </c>
      <c r="F36" s="0" t="s">
        <v>30</v>
      </c>
      <c r="G36" s="8" t="n">
        <f aca="false">'Echo (tests 2, 3E)'!G53</f>
        <v>0.00391932484623087</v>
      </c>
      <c r="H36" s="8" t="n">
        <f aca="false">'Echo (tests 2, 3E)'!H53</f>
        <v>0.00396101413945225</v>
      </c>
      <c r="I36" s="8" t="n">
        <f aca="false">'Echo (tests 2, 3E)'!G54</f>
        <v>0.00303759743237047</v>
      </c>
      <c r="J36" s="8" t="n">
        <f aca="false">'Echo (tests 2, 3E)'!H54</f>
        <v>0.0039050354759249</v>
      </c>
      <c r="K36" s="9" t="n">
        <f aca="false">G36-I36</f>
        <v>0.000881727413860396</v>
      </c>
      <c r="L36" s="9" t="n">
        <f aca="false">SQRT(H36^2+J36^2)</f>
        <v>0.00556227786802966</v>
      </c>
      <c r="M36" s="5" t="n">
        <f aca="false">K36/L36</f>
        <v>0.158519123779901</v>
      </c>
      <c r="N36" s="0" t="str">
        <f aca="false">IF(OR(G36&gt;2*H36,I36&gt;2*J36),"yes","no")</f>
        <v>no</v>
      </c>
      <c r="O36" s="0" t="str">
        <f aca="false">IF(N36="no","NOT JUDGED",IF(K36&gt;2*L36,"WIN",IF(K36&lt;-2*L36,"LOSS","TIE")))</f>
        <v>NOT JUDGED</v>
      </c>
    </row>
    <row r="37" customFormat="false" ht="15" hidden="false" customHeight="false" outlineLevel="0" collapsed="false">
      <c r="A37" s="0" t="s">
        <v>27</v>
      </c>
      <c r="B37" s="0" t="s">
        <v>28</v>
      </c>
      <c r="C37" s="0" t="n">
        <v>36</v>
      </c>
      <c r="D37" s="0" t="n">
        <v>0.3</v>
      </c>
      <c r="E37" s="0" t="n">
        <v>100</v>
      </c>
      <c r="F37" s="0" t="s">
        <v>31</v>
      </c>
      <c r="G37" s="8" t="n">
        <f aca="false">'Echo (tests 2, 3E)'!G53</f>
        <v>0.00391932484623087</v>
      </c>
      <c r="H37" s="8" t="n">
        <f aca="false">'Echo (tests 2, 3E)'!H53</f>
        <v>0.00396101413945225</v>
      </c>
      <c r="I37" s="8" t="n">
        <f aca="false">'Echo (tests 2, 3E)'!G55</f>
        <v>0.0023447329292005</v>
      </c>
      <c r="J37" s="8" t="n">
        <f aca="false">'Echo (tests 2, 3E)'!H55</f>
        <v>0.0039291679442803</v>
      </c>
      <c r="K37" s="9" t="n">
        <f aca="false">G37-I37</f>
        <v>0.00157459191703036</v>
      </c>
      <c r="L37" s="9" t="n">
        <f aca="false">SQRT(H37^2+J37^2)</f>
        <v>0.00557924670070257</v>
      </c>
      <c r="M37" s="5" t="n">
        <f aca="false">K37/L37</f>
        <v>0.282223031441159</v>
      </c>
      <c r="N37" s="0" t="str">
        <f aca="false">IF(OR(G37&gt;2*H37,I37&gt;2*J37),"yes","no")</f>
        <v>no</v>
      </c>
      <c r="O37" s="0" t="str">
        <f aca="false">IF(N37="no","NOT JUDGED",IF(K37&gt;2*L37,"WIN",IF(K37&lt;-2*L37,"LOSS","TIE")))</f>
        <v>NOT JUDGED</v>
      </c>
    </row>
    <row r="38" customFormat="false" ht="15" hidden="false" customHeight="false" outlineLevel="0" collapsed="false">
      <c r="A38" s="0" t="s">
        <v>27</v>
      </c>
      <c r="B38" s="0" t="s">
        <v>32</v>
      </c>
      <c r="C38" s="0" t="n">
        <v>40</v>
      </c>
      <c r="D38" s="0" t="n">
        <v>0</v>
      </c>
      <c r="E38" s="0" t="n">
        <v>24</v>
      </c>
      <c r="F38" s="0" t="s">
        <v>30</v>
      </c>
      <c r="G38" s="8" t="n">
        <f aca="false">'Echo (tests 2, 3E)'!G56</f>
        <v>0.172666511831953</v>
      </c>
      <c r="H38" s="8" t="n">
        <f aca="false">'Echo (tests 2, 3E)'!H56</f>
        <v>0.0056066520938925</v>
      </c>
      <c r="I38" s="8" t="n">
        <f aca="false">'Echo (tests 2, 3E)'!G57</f>
        <v>0.0429128067504451</v>
      </c>
      <c r="J38" s="8" t="n">
        <f aca="false">'Echo (tests 2, 3E)'!H57</f>
        <v>0.00424044588239917</v>
      </c>
      <c r="K38" s="9" t="n">
        <f aca="false">G38-I38</f>
        <v>0.129753705081508</v>
      </c>
      <c r="L38" s="9" t="n">
        <f aca="false">SQRT(H38^2+J38^2)</f>
        <v>0.00702964643374794</v>
      </c>
      <c r="M38" s="5" t="n">
        <f aca="false">K38/L38</f>
        <v>18.4580698765425</v>
      </c>
      <c r="N38" s="0" t="str">
        <f aca="false">IF(OR(G38&gt;2*H38,I38&gt;2*J38),"yes","no")</f>
        <v>yes</v>
      </c>
      <c r="O38" s="0" t="str">
        <f aca="false">IF(N38="no","NOT JUDGED",IF(K38&gt;2*L38,"WIN",IF(K38&lt;-2*L38,"LOSS","TIE")))</f>
        <v>WIN</v>
      </c>
    </row>
    <row r="39" customFormat="false" ht="15" hidden="false" customHeight="false" outlineLevel="0" collapsed="false">
      <c r="A39" s="0" t="s">
        <v>27</v>
      </c>
      <c r="B39" s="0" t="s">
        <v>32</v>
      </c>
      <c r="C39" s="0" t="n">
        <v>40</v>
      </c>
      <c r="D39" s="0" t="n">
        <v>0</v>
      </c>
      <c r="E39" s="0" t="n">
        <v>24</v>
      </c>
      <c r="F39" s="0" t="s">
        <v>31</v>
      </c>
      <c r="G39" s="8" t="n">
        <f aca="false">'Echo (tests 2, 3E)'!G56</f>
        <v>0.172666511831953</v>
      </c>
      <c r="H39" s="8" t="n">
        <f aca="false">'Echo (tests 2, 3E)'!H56</f>
        <v>0.0056066520938925</v>
      </c>
      <c r="I39" s="8" t="n">
        <f aca="false">'Echo (tests 2, 3E)'!G58</f>
        <v>-0.00437789809082196</v>
      </c>
      <c r="J39" s="8" t="n">
        <f aca="false">'Echo (tests 2, 3E)'!H58</f>
        <v>0.00389260229935888</v>
      </c>
      <c r="K39" s="9" t="n">
        <f aca="false">G39-I39</f>
        <v>0.177044409922775</v>
      </c>
      <c r="L39" s="9" t="n">
        <f aca="false">SQRT(H39^2+J39^2)</f>
        <v>0.00682545971806465</v>
      </c>
      <c r="M39" s="5" t="n">
        <f aca="false">K39/L39</f>
        <v>25.9388256961211</v>
      </c>
      <c r="N39" s="0" t="str">
        <f aca="false">IF(OR(G39&gt;2*H39,I39&gt;2*J39),"yes","no")</f>
        <v>yes</v>
      </c>
      <c r="O39" s="0" t="str">
        <f aca="false">IF(N39="no","NOT JUDGED",IF(K39&gt;2*L39,"WIN",IF(K39&lt;-2*L39,"LOSS","TIE")))</f>
        <v>WIN</v>
      </c>
    </row>
    <row r="40" customFormat="false" ht="15" hidden="false" customHeight="false" outlineLevel="0" collapsed="false">
      <c r="A40" s="0" t="s">
        <v>27</v>
      </c>
      <c r="B40" s="0" t="s">
        <v>32</v>
      </c>
      <c r="C40" s="0" t="n">
        <v>40</v>
      </c>
      <c r="D40" s="0" t="n">
        <v>0</v>
      </c>
      <c r="E40" s="0" t="n">
        <v>50</v>
      </c>
      <c r="F40" s="0" t="s">
        <v>30</v>
      </c>
      <c r="G40" s="8" t="n">
        <f aca="false">'Echo (tests 2, 3E)'!G59</f>
        <v>-0.0207516002477803</v>
      </c>
      <c r="H40" s="8" t="n">
        <f aca="false">'Echo (tests 2, 3E)'!H59</f>
        <v>0.00434548798965785</v>
      </c>
      <c r="I40" s="8" t="n">
        <f aca="false">'Echo (tests 2, 3E)'!G60</f>
        <v>-0.0010590484062613</v>
      </c>
      <c r="J40" s="8" t="n">
        <f aca="false">'Echo (tests 2, 3E)'!H60</f>
        <v>0.0037659320051689</v>
      </c>
      <c r="K40" s="9" t="n">
        <f aca="false">G40-I40</f>
        <v>-0.019692551841519</v>
      </c>
      <c r="L40" s="9" t="n">
        <f aca="false">SQRT(H40^2+J40^2)</f>
        <v>0.00575026171020207</v>
      </c>
      <c r="M40" s="5" t="n">
        <f aca="false">K40/L40</f>
        <v>-3.42463575293984</v>
      </c>
      <c r="N40" s="0" t="str">
        <f aca="false">IF(OR(G40&gt;2*H40,I40&gt;2*J40),"yes","no")</f>
        <v>no</v>
      </c>
      <c r="O40" s="0" t="str">
        <f aca="false">IF(N40="no","NOT JUDGED",IF(K40&gt;2*L40,"WIN",IF(K40&lt;-2*L40,"LOSS","TIE")))</f>
        <v>NOT JUDGED</v>
      </c>
    </row>
    <row r="41" customFormat="false" ht="15" hidden="false" customHeight="false" outlineLevel="0" collapsed="false">
      <c r="A41" s="0" t="s">
        <v>27</v>
      </c>
      <c r="B41" s="0" t="s">
        <v>32</v>
      </c>
      <c r="C41" s="0" t="n">
        <v>40</v>
      </c>
      <c r="D41" s="0" t="n">
        <v>0</v>
      </c>
      <c r="E41" s="0" t="n">
        <v>50</v>
      </c>
      <c r="F41" s="0" t="s">
        <v>31</v>
      </c>
      <c r="G41" s="8" t="n">
        <f aca="false">'Echo (tests 2, 3E)'!G59</f>
        <v>-0.0207516002477803</v>
      </c>
      <c r="H41" s="8" t="n">
        <f aca="false">'Echo (tests 2, 3E)'!H59</f>
        <v>0.00434548798965785</v>
      </c>
      <c r="I41" s="8" t="n">
        <f aca="false">'Echo (tests 2, 3E)'!G61</f>
        <v>2.58404609938256E-005</v>
      </c>
      <c r="J41" s="8" t="n">
        <f aca="false">'Echo (tests 2, 3E)'!H61</f>
        <v>0.00368996394907152</v>
      </c>
      <c r="K41" s="9" t="n">
        <f aca="false">G41-I41</f>
        <v>-0.0207774407087741</v>
      </c>
      <c r="L41" s="9" t="n">
        <f aca="false">SQRT(H41^2+J41^2)</f>
        <v>0.00570079817338836</v>
      </c>
      <c r="M41" s="5" t="n">
        <f aca="false">K41/L41</f>
        <v>-3.64465467410588</v>
      </c>
      <c r="N41" s="0" t="str">
        <f aca="false">IF(OR(G41&gt;2*H41,I41&gt;2*J41),"yes","no")</f>
        <v>no</v>
      </c>
      <c r="O41" s="0" t="str">
        <f aca="false">IF(N41="no","NOT JUDGED",IF(K41&gt;2*L41,"WIN",IF(K41&lt;-2*L41,"LOSS","TIE")))</f>
        <v>NOT JUDGED</v>
      </c>
    </row>
    <row r="42" customFormat="false" ht="15" hidden="false" customHeight="false" outlineLevel="0" collapsed="false">
      <c r="A42" s="0" t="s">
        <v>27</v>
      </c>
      <c r="B42" s="0" t="s">
        <v>32</v>
      </c>
      <c r="C42" s="0" t="n">
        <v>40</v>
      </c>
      <c r="D42" s="0" t="n">
        <v>0</v>
      </c>
      <c r="E42" s="0" t="n">
        <v>100</v>
      </c>
      <c r="F42" s="0" t="s">
        <v>30</v>
      </c>
      <c r="G42" s="8" t="n">
        <f aca="false">'Echo (tests 2, 3E)'!G62</f>
        <v>-0.00751685480329605</v>
      </c>
      <c r="H42" s="8" t="n">
        <f aca="false">'Echo (tests 2, 3E)'!H62</f>
        <v>0.00374475115514066</v>
      </c>
      <c r="I42" s="8" t="n">
        <f aca="false">'Echo (tests 2, 3E)'!G63</f>
        <v>0.00276728909119123</v>
      </c>
      <c r="J42" s="8" t="n">
        <f aca="false">'Echo (tests 2, 3E)'!H63</f>
        <v>0.00366784652796186</v>
      </c>
      <c r="K42" s="9" t="n">
        <f aca="false">G42-I42</f>
        <v>-0.0102841438944873</v>
      </c>
      <c r="L42" s="9" t="n">
        <f aca="false">SQRT(H42^2+J42^2)</f>
        <v>0.00524178017152657</v>
      </c>
      <c r="M42" s="5" t="n">
        <f aca="false">K42/L42</f>
        <v>-1.96195635031604</v>
      </c>
      <c r="N42" s="0" t="str">
        <f aca="false">IF(OR(G42&gt;2*H42,I42&gt;2*J42),"yes","no")</f>
        <v>no</v>
      </c>
      <c r="O42" s="0" t="str">
        <f aca="false">IF(N42="no","NOT JUDGED",IF(K42&gt;2*L42,"WIN",IF(K42&lt;-2*L42,"LOSS","TIE")))</f>
        <v>NOT JUDGED</v>
      </c>
    </row>
    <row r="43" customFormat="false" ht="15" hidden="false" customHeight="false" outlineLevel="0" collapsed="false">
      <c r="A43" s="0" t="s">
        <v>27</v>
      </c>
      <c r="B43" s="0" t="s">
        <v>32</v>
      </c>
      <c r="C43" s="0" t="n">
        <v>40</v>
      </c>
      <c r="D43" s="0" t="n">
        <v>0</v>
      </c>
      <c r="E43" s="0" t="n">
        <v>100</v>
      </c>
      <c r="F43" s="0" t="s">
        <v>31</v>
      </c>
      <c r="G43" s="8" t="n">
        <f aca="false">'Echo (tests 2, 3E)'!G62</f>
        <v>-0.00751685480329605</v>
      </c>
      <c r="H43" s="8" t="n">
        <f aca="false">'Echo (tests 2, 3E)'!H62</f>
        <v>0.00374475115514066</v>
      </c>
      <c r="I43" s="8" t="n">
        <f aca="false">'Echo (tests 2, 3E)'!G64</f>
        <v>0.00294634549777732</v>
      </c>
      <c r="J43" s="8" t="n">
        <f aca="false">'Echo (tests 2, 3E)'!H64</f>
        <v>0.00361667968548504</v>
      </c>
      <c r="K43" s="9" t="n">
        <f aca="false">G43-I43</f>
        <v>-0.0104632003010734</v>
      </c>
      <c r="L43" s="9" t="n">
        <f aca="false">SQRT(H43^2+J43^2)</f>
        <v>0.00520610537362887</v>
      </c>
      <c r="M43" s="5" t="n">
        <f aca="false">K43/L43</f>
        <v>-2.00979418397367</v>
      </c>
      <c r="N43" s="0" t="str">
        <f aca="false">IF(OR(G43&gt;2*H43,I43&gt;2*J43),"yes","no")</f>
        <v>no</v>
      </c>
      <c r="O43" s="0" t="str">
        <f aca="false">IF(N43="no","NOT JUDGED",IF(K43&gt;2*L43,"WIN",IF(K43&lt;-2*L43,"LOSS","TIE")))</f>
        <v>NOT JUDGED</v>
      </c>
    </row>
    <row r="44" customFormat="false" ht="15" hidden="false" customHeight="false" outlineLevel="0" collapsed="false">
      <c r="A44" s="0" t="s">
        <v>27</v>
      </c>
      <c r="B44" s="0" t="s">
        <v>32</v>
      </c>
      <c r="C44" s="0" t="n">
        <v>40</v>
      </c>
      <c r="D44" s="0" t="n">
        <v>0.1</v>
      </c>
      <c r="E44" s="0" t="n">
        <v>24</v>
      </c>
      <c r="F44" s="0" t="s">
        <v>30</v>
      </c>
      <c r="G44" s="8" t="n">
        <f aca="false">'Echo (tests 2, 3E)'!G65</f>
        <v>0.205393281600454</v>
      </c>
      <c r="H44" s="8" t="n">
        <f aca="false">'Echo (tests 2, 3E)'!H65</f>
        <v>0.00543960339220986</v>
      </c>
      <c r="I44" s="8" t="n">
        <f aca="false">'Echo (tests 2, 3E)'!G66</f>
        <v>0.0460468483375562</v>
      </c>
      <c r="J44" s="8" t="n">
        <f aca="false">'Echo (tests 2, 3E)'!H66</f>
        <v>0.00419474305928199</v>
      </c>
      <c r="K44" s="9" t="n">
        <f aca="false">G44-I44</f>
        <v>0.159346433262898</v>
      </c>
      <c r="L44" s="9" t="n">
        <f aca="false">SQRT(H44^2+J44^2)</f>
        <v>0.0068691450994964</v>
      </c>
      <c r="M44" s="5" t="n">
        <f aca="false">K44/L44</f>
        <v>23.1974184494341</v>
      </c>
      <c r="N44" s="0" t="str">
        <f aca="false">IF(OR(G44&gt;2*H44,I44&gt;2*J44),"yes","no")</f>
        <v>yes</v>
      </c>
      <c r="O44" s="0" t="str">
        <f aca="false">IF(N44="no","NOT JUDGED",IF(K44&gt;2*L44,"WIN",IF(K44&lt;-2*L44,"LOSS","TIE")))</f>
        <v>WIN</v>
      </c>
    </row>
    <row r="45" customFormat="false" ht="15" hidden="false" customHeight="false" outlineLevel="0" collapsed="false">
      <c r="A45" s="0" t="s">
        <v>27</v>
      </c>
      <c r="B45" s="0" t="s">
        <v>32</v>
      </c>
      <c r="C45" s="0" t="n">
        <v>40</v>
      </c>
      <c r="D45" s="0" t="n">
        <v>0.1</v>
      </c>
      <c r="E45" s="0" t="n">
        <v>24</v>
      </c>
      <c r="F45" s="0" t="s">
        <v>31</v>
      </c>
      <c r="G45" s="8" t="n">
        <f aca="false">'Echo (tests 2, 3E)'!G65</f>
        <v>0.205393281600454</v>
      </c>
      <c r="H45" s="8" t="n">
        <f aca="false">'Echo (tests 2, 3E)'!H65</f>
        <v>0.00543960339220986</v>
      </c>
      <c r="I45" s="8" t="n">
        <f aca="false">'Echo (tests 2, 3E)'!G67</f>
        <v>-0.00434625135820355</v>
      </c>
      <c r="J45" s="8" t="n">
        <f aca="false">'Echo (tests 2, 3E)'!H67</f>
        <v>0.00395248532490512</v>
      </c>
      <c r="K45" s="9" t="n">
        <f aca="false">G45-I45</f>
        <v>0.209739532958657</v>
      </c>
      <c r="L45" s="9" t="n">
        <f aca="false">SQRT(H45^2+J45^2)</f>
        <v>0.00672394417794581</v>
      </c>
      <c r="M45" s="5" t="n">
        <f aca="false">K45/L45</f>
        <v>31.1929319173399</v>
      </c>
      <c r="N45" s="0" t="str">
        <f aca="false">IF(OR(G45&gt;2*H45,I45&gt;2*J45),"yes","no")</f>
        <v>yes</v>
      </c>
      <c r="O45" s="0" t="str">
        <f aca="false">IF(N45="no","NOT JUDGED",IF(K45&gt;2*L45,"WIN",IF(K45&lt;-2*L45,"LOSS","TIE")))</f>
        <v>WIN</v>
      </c>
    </row>
    <row r="46" customFormat="false" ht="15" hidden="false" customHeight="false" outlineLevel="0" collapsed="false">
      <c r="A46" s="0" t="s">
        <v>27</v>
      </c>
      <c r="B46" s="0" t="s">
        <v>32</v>
      </c>
      <c r="C46" s="0" t="n">
        <v>40</v>
      </c>
      <c r="D46" s="0" t="n">
        <v>0.1</v>
      </c>
      <c r="E46" s="0" t="n">
        <v>50</v>
      </c>
      <c r="F46" s="0" t="s">
        <v>30</v>
      </c>
      <c r="G46" s="8" t="n">
        <f aca="false">'Echo (tests 2, 3E)'!G68</f>
        <v>0.000748425725198721</v>
      </c>
      <c r="H46" s="8" t="n">
        <f aca="false">'Echo (tests 2, 3E)'!H68</f>
        <v>0.00416548062948925</v>
      </c>
      <c r="I46" s="8" t="n">
        <f aca="false">'Echo (tests 2, 3E)'!G69</f>
        <v>-0.00031047062171742</v>
      </c>
      <c r="J46" s="8" t="n">
        <f aca="false">'Echo (tests 2, 3E)'!H69</f>
        <v>0.00353963044396053</v>
      </c>
      <c r="K46" s="9" t="n">
        <f aca="false">G46-I46</f>
        <v>0.00105889634691614</v>
      </c>
      <c r="L46" s="9" t="n">
        <f aca="false">SQRT(H46^2+J46^2)</f>
        <v>0.00546627958985473</v>
      </c>
      <c r="M46" s="5" t="n">
        <f aca="false">K46/L46</f>
        <v>0.19371426753974</v>
      </c>
      <c r="N46" s="0" t="str">
        <f aca="false">IF(OR(G46&gt;2*H46,I46&gt;2*J46),"yes","no")</f>
        <v>no</v>
      </c>
      <c r="O46" s="0" t="str">
        <f aca="false">IF(N46="no","NOT JUDGED",IF(K46&gt;2*L46,"WIN",IF(K46&lt;-2*L46,"LOSS","TIE")))</f>
        <v>NOT JUDGED</v>
      </c>
    </row>
    <row r="47" customFormat="false" ht="15" hidden="false" customHeight="false" outlineLevel="0" collapsed="false">
      <c r="A47" s="0" t="s">
        <v>27</v>
      </c>
      <c r="B47" s="0" t="s">
        <v>32</v>
      </c>
      <c r="C47" s="0" t="n">
        <v>40</v>
      </c>
      <c r="D47" s="0" t="n">
        <v>0.1</v>
      </c>
      <c r="E47" s="0" t="n">
        <v>50</v>
      </c>
      <c r="F47" s="0" t="s">
        <v>31</v>
      </c>
      <c r="G47" s="8" t="n">
        <f aca="false">'Echo (tests 2, 3E)'!G68</f>
        <v>0.000748425725198721</v>
      </c>
      <c r="H47" s="8" t="n">
        <f aca="false">'Echo (tests 2, 3E)'!H68</f>
        <v>0.00416548062948925</v>
      </c>
      <c r="I47" s="8" t="n">
        <f aca="false">'Echo (tests 2, 3E)'!G70</f>
        <v>-0.00165610040108681</v>
      </c>
      <c r="J47" s="8" t="n">
        <f aca="false">'Echo (tests 2, 3E)'!H70</f>
        <v>0.00372770314741198</v>
      </c>
      <c r="K47" s="9" t="n">
        <f aca="false">G47-I47</f>
        <v>0.00240452612628553</v>
      </c>
      <c r="L47" s="9" t="n">
        <f aca="false">SQRT(H47^2+J47^2)</f>
        <v>0.00558990157604545</v>
      </c>
      <c r="M47" s="5" t="n">
        <f aca="false">K47/L47</f>
        <v>0.430155360264251</v>
      </c>
      <c r="N47" s="0" t="str">
        <f aca="false">IF(OR(G47&gt;2*H47,I47&gt;2*J47),"yes","no")</f>
        <v>no</v>
      </c>
      <c r="O47" s="0" t="str">
        <f aca="false">IF(N47="no","NOT JUDGED",IF(K47&gt;2*L47,"WIN",IF(K47&lt;-2*L47,"LOSS","TIE")))</f>
        <v>NOT JUDGED</v>
      </c>
    </row>
    <row r="48" customFormat="false" ht="15" hidden="false" customHeight="false" outlineLevel="0" collapsed="false">
      <c r="A48" s="0" t="s">
        <v>27</v>
      </c>
      <c r="B48" s="0" t="s">
        <v>32</v>
      </c>
      <c r="C48" s="0" t="n">
        <v>40</v>
      </c>
      <c r="D48" s="0" t="n">
        <v>0.1</v>
      </c>
      <c r="E48" s="0" t="n">
        <v>100</v>
      </c>
      <c r="F48" s="0" t="s">
        <v>30</v>
      </c>
      <c r="G48" s="8" t="n">
        <f aca="false">'Echo (tests 2, 3E)'!G71</f>
        <v>-0.0014208581983518</v>
      </c>
      <c r="H48" s="8" t="n">
        <f aca="false">'Echo (tests 2, 3E)'!H71</f>
        <v>0.00375505035729915</v>
      </c>
      <c r="I48" s="8" t="n">
        <f aca="false">'Echo (tests 2, 3E)'!G72</f>
        <v>0.000801302763202109</v>
      </c>
      <c r="J48" s="8" t="n">
        <f aca="false">'Echo (tests 2, 3E)'!H72</f>
        <v>0.00362988151629382</v>
      </c>
      <c r="K48" s="9" t="n">
        <f aca="false">G48-I48</f>
        <v>-0.00222216096155391</v>
      </c>
      <c r="L48" s="9" t="n">
        <f aca="false">SQRT(H48^2+J48^2)</f>
        <v>0.00522268542113959</v>
      </c>
      <c r="M48" s="5" t="n">
        <f aca="false">K48/L48</f>
        <v>-0.425482444827978</v>
      </c>
      <c r="N48" s="0" t="str">
        <f aca="false">IF(OR(G48&gt;2*H48,I48&gt;2*J48),"yes","no")</f>
        <v>no</v>
      </c>
      <c r="O48" s="0" t="str">
        <f aca="false">IF(N48="no","NOT JUDGED",IF(K48&gt;2*L48,"WIN",IF(K48&lt;-2*L48,"LOSS","TIE")))</f>
        <v>NOT JUDGED</v>
      </c>
    </row>
    <row r="49" customFormat="false" ht="15" hidden="false" customHeight="false" outlineLevel="0" collapsed="false">
      <c r="A49" s="0" t="s">
        <v>27</v>
      </c>
      <c r="B49" s="0" t="s">
        <v>32</v>
      </c>
      <c r="C49" s="0" t="n">
        <v>40</v>
      </c>
      <c r="D49" s="0" t="n">
        <v>0.1</v>
      </c>
      <c r="E49" s="0" t="n">
        <v>100</v>
      </c>
      <c r="F49" s="0" t="s">
        <v>31</v>
      </c>
      <c r="G49" s="8" t="n">
        <f aca="false">'Echo (tests 2, 3E)'!G71</f>
        <v>-0.0014208581983518</v>
      </c>
      <c r="H49" s="8" t="n">
        <f aca="false">'Echo (tests 2, 3E)'!H71</f>
        <v>0.00375505035729915</v>
      </c>
      <c r="I49" s="8" t="n">
        <f aca="false">'Echo (tests 2, 3E)'!G73</f>
        <v>0.00333660959081268</v>
      </c>
      <c r="J49" s="8" t="n">
        <f aca="false">'Echo (tests 2, 3E)'!H73</f>
        <v>0.00371256311308412</v>
      </c>
      <c r="K49" s="9" t="n">
        <f aca="false">G49-I49</f>
        <v>-0.00475746778916449</v>
      </c>
      <c r="L49" s="9" t="n">
        <f aca="false">SQRT(H49^2+J49^2)</f>
        <v>0.00528048558889098</v>
      </c>
      <c r="M49" s="5" t="n">
        <f aca="false">K49/L49</f>
        <v>-0.900952707677716</v>
      </c>
      <c r="N49" s="0" t="str">
        <f aca="false">IF(OR(G49&gt;2*H49,I49&gt;2*J49),"yes","no")</f>
        <v>no</v>
      </c>
      <c r="O49" s="0" t="str">
        <f aca="false">IF(N49="no","NOT JUDGED",IF(K49&gt;2*L49,"WIN",IF(K49&lt;-2*L49,"LOSS","TIE")))</f>
        <v>NOT JUDGED</v>
      </c>
    </row>
    <row r="50" customFormat="false" ht="15" hidden="false" customHeight="false" outlineLevel="0" collapsed="false">
      <c r="A50" s="0" t="s">
        <v>27</v>
      </c>
      <c r="B50" s="0" t="s">
        <v>32</v>
      </c>
      <c r="C50" s="0" t="n">
        <v>40</v>
      </c>
      <c r="D50" s="0" t="n">
        <v>0.3</v>
      </c>
      <c r="E50" s="0" t="n">
        <v>24</v>
      </c>
      <c r="F50" s="0" t="s">
        <v>30</v>
      </c>
      <c r="G50" s="8" t="n">
        <f aca="false">'Echo (tests 2, 3E)'!G74</f>
        <v>0.253256150506512</v>
      </c>
      <c r="H50" s="8" t="n">
        <f aca="false">'Echo (tests 2, 3E)'!H74</f>
        <v>0.0053479561326561</v>
      </c>
      <c r="I50" s="8" t="n">
        <f aca="false">'Echo (tests 2, 3E)'!G75</f>
        <v>0.0493352265393055</v>
      </c>
      <c r="J50" s="8" t="n">
        <f aca="false">'Echo (tests 2, 3E)'!H75</f>
        <v>0.0041479525709721</v>
      </c>
      <c r="K50" s="9" t="n">
        <f aca="false">G50-I50</f>
        <v>0.203920923967207</v>
      </c>
      <c r="L50" s="9" t="n">
        <f aca="false">SQRT(H50^2+J50^2)</f>
        <v>0.00676802373871783</v>
      </c>
      <c r="M50" s="5" t="n">
        <f aca="false">K50/L50</f>
        <v>30.1300544796609</v>
      </c>
      <c r="N50" s="0" t="str">
        <f aca="false">IF(OR(G50&gt;2*H50,I50&gt;2*J50),"yes","no")</f>
        <v>yes</v>
      </c>
      <c r="O50" s="0" t="str">
        <f aca="false">IF(N50="no","NOT JUDGED",IF(K50&gt;2*L50,"WIN",IF(K50&lt;-2*L50,"LOSS","TIE")))</f>
        <v>WIN</v>
      </c>
    </row>
    <row r="51" customFormat="false" ht="15" hidden="false" customHeight="false" outlineLevel="0" collapsed="false">
      <c r="A51" s="0" t="s">
        <v>27</v>
      </c>
      <c r="B51" s="0" t="s">
        <v>32</v>
      </c>
      <c r="C51" s="0" t="n">
        <v>40</v>
      </c>
      <c r="D51" s="0" t="n">
        <v>0.3</v>
      </c>
      <c r="E51" s="0" t="n">
        <v>24</v>
      </c>
      <c r="F51" s="0" t="s">
        <v>31</v>
      </c>
      <c r="G51" s="8" t="n">
        <f aca="false">'Echo (tests 2, 3E)'!G74</f>
        <v>0.253256150506512</v>
      </c>
      <c r="H51" s="8" t="n">
        <f aca="false">'Echo (tests 2, 3E)'!H74</f>
        <v>0.0053479561326561</v>
      </c>
      <c r="I51" s="8" t="n">
        <f aca="false">'Echo (tests 2, 3E)'!G76</f>
        <v>0.00760534961326539</v>
      </c>
      <c r="J51" s="8" t="n">
        <f aca="false">'Echo (tests 2, 3E)'!H76</f>
        <v>0.00395076792431618</v>
      </c>
      <c r="K51" s="9" t="n">
        <f aca="false">G51-I51</f>
        <v>0.245650800893247</v>
      </c>
      <c r="L51" s="9" t="n">
        <f aca="false">SQRT(H51^2+J51^2)</f>
        <v>0.00664900007434348</v>
      </c>
      <c r="M51" s="5" t="n">
        <f aca="false">K51/L51</f>
        <v>36.9455253642034</v>
      </c>
      <c r="N51" s="0" t="str">
        <f aca="false">IF(OR(G51&gt;2*H51,I51&gt;2*J51),"yes","no")</f>
        <v>yes</v>
      </c>
      <c r="O51" s="0" t="str">
        <f aca="false">IF(N51="no","NOT JUDGED",IF(K51&gt;2*L51,"WIN",IF(K51&lt;-2*L51,"LOSS","TIE")))</f>
        <v>WIN</v>
      </c>
    </row>
    <row r="52" customFormat="false" ht="15" hidden="false" customHeight="false" outlineLevel="0" collapsed="false">
      <c r="A52" s="0" t="s">
        <v>27</v>
      </c>
      <c r="B52" s="0" t="s">
        <v>32</v>
      </c>
      <c r="C52" s="0" t="n">
        <v>40</v>
      </c>
      <c r="D52" s="0" t="n">
        <v>0.3</v>
      </c>
      <c r="E52" s="0" t="n">
        <v>50</v>
      </c>
      <c r="F52" s="0" t="s">
        <v>30</v>
      </c>
      <c r="G52" s="8" t="n">
        <f aca="false">'Echo (tests 2, 3E)'!G77</f>
        <v>0.00950216897335261</v>
      </c>
      <c r="H52" s="8" t="n">
        <f aca="false">'Echo (tests 2, 3E)'!H77</f>
        <v>0.00394517578188451</v>
      </c>
      <c r="I52" s="8" t="n">
        <f aca="false">'Echo (tests 2, 3E)'!G78</f>
        <v>0.00333376405220313</v>
      </c>
      <c r="J52" s="8" t="n">
        <f aca="false">'Echo (tests 2, 3E)'!H78</f>
        <v>0.00370184278138922</v>
      </c>
      <c r="K52" s="9" t="n">
        <f aca="false">G52-I52</f>
        <v>0.00616840492114949</v>
      </c>
      <c r="L52" s="9" t="n">
        <f aca="false">SQRT(H52^2+J52^2)</f>
        <v>0.00540999555712308</v>
      </c>
      <c r="M52" s="5" t="n">
        <f aca="false">K52/L52</f>
        <v>1.14018668888329</v>
      </c>
      <c r="N52" s="0" t="str">
        <f aca="false">IF(OR(G52&gt;2*H52,I52&gt;2*J52),"yes","no")</f>
        <v>yes</v>
      </c>
      <c r="O52" s="0" t="str">
        <f aca="false">IF(N52="no","NOT JUDGED",IF(K52&gt;2*L52,"WIN",IF(K52&lt;-2*L52,"LOSS","TIE")))</f>
        <v>TIE</v>
      </c>
    </row>
    <row r="53" customFormat="false" ht="15" hidden="false" customHeight="false" outlineLevel="0" collapsed="false">
      <c r="A53" s="0" t="s">
        <v>27</v>
      </c>
      <c r="B53" s="0" t="s">
        <v>32</v>
      </c>
      <c r="C53" s="0" t="n">
        <v>40</v>
      </c>
      <c r="D53" s="0" t="n">
        <v>0.3</v>
      </c>
      <c r="E53" s="0" t="n">
        <v>50</v>
      </c>
      <c r="F53" s="0" t="s">
        <v>31</v>
      </c>
      <c r="G53" s="8" t="n">
        <f aca="false">'Echo (tests 2, 3E)'!G77</f>
        <v>0.00950216897335261</v>
      </c>
      <c r="H53" s="8" t="n">
        <f aca="false">'Echo (tests 2, 3E)'!H77</f>
        <v>0.00394517578188451</v>
      </c>
      <c r="I53" s="8" t="n">
        <f aca="false">'Echo (tests 2, 3E)'!G79</f>
        <v>0.00287281950411512</v>
      </c>
      <c r="J53" s="8" t="n">
        <f aca="false">'Echo (tests 2, 3E)'!H79</f>
        <v>0.00364866521642309</v>
      </c>
      <c r="K53" s="9" t="n">
        <f aca="false">G53-I53</f>
        <v>0.00662934946923749</v>
      </c>
      <c r="L53" s="9" t="n">
        <f aca="false">SQRT(H53^2+J53^2)</f>
        <v>0.0053737482087928</v>
      </c>
      <c r="M53" s="5" t="n">
        <f aca="false">K53/L53</f>
        <v>1.2336546506571</v>
      </c>
      <c r="N53" s="0" t="str">
        <f aca="false">IF(OR(G53&gt;2*H53,I53&gt;2*J53),"yes","no")</f>
        <v>yes</v>
      </c>
      <c r="O53" s="0" t="str">
        <f aca="false">IF(N53="no","NOT JUDGED",IF(K53&gt;2*L53,"WIN",IF(K53&lt;-2*L53,"LOSS","TIE")))</f>
        <v>TIE</v>
      </c>
    </row>
    <row r="54" customFormat="false" ht="15" hidden="false" customHeight="false" outlineLevel="0" collapsed="false">
      <c r="A54" s="0" t="s">
        <v>27</v>
      </c>
      <c r="B54" s="0" t="s">
        <v>32</v>
      </c>
      <c r="C54" s="0" t="n">
        <v>40</v>
      </c>
      <c r="D54" s="0" t="n">
        <v>0.3</v>
      </c>
      <c r="E54" s="0" t="n">
        <v>100</v>
      </c>
      <c r="F54" s="0" t="s">
        <v>30</v>
      </c>
      <c r="G54" s="8" t="n">
        <f aca="false">'Echo (tests 2, 3E)'!G80</f>
        <v>-0.000671799906981551</v>
      </c>
      <c r="H54" s="8" t="n">
        <f aca="false">'Echo (tests 2, 3E)'!H80</f>
        <v>0.00361389136709479</v>
      </c>
      <c r="I54" s="8" t="n">
        <f aca="false">'Echo (tests 2, 3E)'!G81</f>
        <v>-0.00625791937110496</v>
      </c>
      <c r="J54" s="8" t="n">
        <f aca="false">'Echo (tests 2, 3E)'!H81</f>
        <v>0.00361287083810938</v>
      </c>
      <c r="K54" s="9" t="n">
        <f aca="false">G54-I54</f>
        <v>0.00558611946412341</v>
      </c>
      <c r="L54" s="9" t="n">
        <f aca="false">SQRT(H54^2+J54^2)</f>
        <v>0.0051100926122746</v>
      </c>
      <c r="M54" s="5" t="n">
        <f aca="false">K54/L54</f>
        <v>1.09315425139368</v>
      </c>
      <c r="N54" s="0" t="str">
        <f aca="false">IF(OR(G54&gt;2*H54,I54&gt;2*J54),"yes","no")</f>
        <v>no</v>
      </c>
      <c r="O54" s="0" t="str">
        <f aca="false">IF(N54="no","NOT JUDGED",IF(K54&gt;2*L54,"WIN",IF(K54&lt;-2*L54,"LOSS","TIE")))</f>
        <v>NOT JUDGED</v>
      </c>
    </row>
    <row r="55" customFormat="false" ht="15" hidden="false" customHeight="false" outlineLevel="0" collapsed="false">
      <c r="A55" s="0" t="s">
        <v>27</v>
      </c>
      <c r="B55" s="0" t="s">
        <v>32</v>
      </c>
      <c r="C55" s="0" t="n">
        <v>40</v>
      </c>
      <c r="D55" s="0" t="n">
        <v>0.3</v>
      </c>
      <c r="E55" s="0" t="n">
        <v>100</v>
      </c>
      <c r="F55" s="0" t="s">
        <v>31</v>
      </c>
      <c r="G55" s="8" t="n">
        <f aca="false">'Echo (tests 2, 3E)'!G80</f>
        <v>-0.000671799906981551</v>
      </c>
      <c r="H55" s="8" t="n">
        <f aca="false">'Echo (tests 2, 3E)'!H80</f>
        <v>0.00361389136709479</v>
      </c>
      <c r="I55" s="8" t="n">
        <f aca="false">'Echo (tests 2, 3E)'!G82</f>
        <v>-0.00147580457240504</v>
      </c>
      <c r="J55" s="8" t="n">
        <f aca="false">'Echo (tests 2, 3E)'!H82</f>
        <v>0.00357786412431816</v>
      </c>
      <c r="K55" s="9" t="n">
        <f aca="false">G55-I55</f>
        <v>0.000804004665423492</v>
      </c>
      <c r="L55" s="9" t="n">
        <f aca="false">SQRT(H55^2+J55^2)</f>
        <v>0.00508540288524373</v>
      </c>
      <c r="M55" s="5" t="n">
        <f aca="false">K55/L55</f>
        <v>0.158100485559653</v>
      </c>
      <c r="N55" s="0" t="str">
        <f aca="false">IF(OR(G55&gt;2*H55,I55&gt;2*J55),"yes","no")</f>
        <v>no</v>
      </c>
      <c r="O55" s="0" t="str">
        <f aca="false">IF(N55="no","NOT JUDGED",IF(K55&gt;2*L55,"WIN",IF(K55&lt;-2*L55,"LOSS","TIE")))</f>
        <v>NOT JUDGED</v>
      </c>
    </row>
    <row r="56" customFormat="false" ht="15" hidden="false" customHeight="false" outlineLevel="0" collapsed="false">
      <c r="A56" s="0" t="s">
        <v>27</v>
      </c>
      <c r="B56" s="0" t="s">
        <v>32</v>
      </c>
      <c r="C56" s="0" t="n">
        <v>72</v>
      </c>
      <c r="D56" s="0" t="n">
        <v>0</v>
      </c>
      <c r="E56" s="0" t="n">
        <v>24</v>
      </c>
      <c r="F56" s="0" t="s">
        <v>30</v>
      </c>
      <c r="G56" s="8" t="n">
        <f aca="false">'Echo (tests 2, 3E)'!G83</f>
        <v>0.20073362545138</v>
      </c>
      <c r="H56" s="8" t="n">
        <f aca="false">'Echo (tests 2, 3E)'!H83</f>
        <v>0.00423790718891167</v>
      </c>
      <c r="I56" s="8" t="n">
        <f aca="false">'Echo (tests 2, 3E)'!G84</f>
        <v>0.010852956716695</v>
      </c>
      <c r="J56" s="8" t="n">
        <f aca="false">'Echo (tests 2, 3E)'!H84</f>
        <v>0.00287387616933105</v>
      </c>
      <c r="K56" s="9" t="n">
        <f aca="false">G56-I56</f>
        <v>0.189880668734685</v>
      </c>
      <c r="L56" s="9" t="n">
        <f aca="false">SQRT(H56^2+J56^2)</f>
        <v>0.0051204513061329</v>
      </c>
      <c r="M56" s="5" t="n">
        <f aca="false">K56/L56</f>
        <v>37.0827994218516</v>
      </c>
      <c r="N56" s="0" t="str">
        <f aca="false">IF(OR(G56&gt;2*H56,I56&gt;2*J56),"yes","no")</f>
        <v>yes</v>
      </c>
      <c r="O56" s="0" t="str">
        <f aca="false">IF(N56="no","NOT JUDGED",IF(K56&gt;2*L56,"WIN",IF(K56&lt;-2*L56,"LOSS","TIE")))</f>
        <v>WIN</v>
      </c>
    </row>
    <row r="57" customFormat="false" ht="15" hidden="false" customHeight="false" outlineLevel="0" collapsed="false">
      <c r="A57" s="0" t="s">
        <v>27</v>
      </c>
      <c r="B57" s="0" t="s">
        <v>32</v>
      </c>
      <c r="C57" s="0" t="n">
        <v>72</v>
      </c>
      <c r="D57" s="0" t="n">
        <v>0</v>
      </c>
      <c r="E57" s="0" t="n">
        <v>24</v>
      </c>
      <c r="F57" s="0" t="s">
        <v>31</v>
      </c>
      <c r="G57" s="8" t="n">
        <f aca="false">'Echo (tests 2, 3E)'!G83</f>
        <v>0.20073362545138</v>
      </c>
      <c r="H57" s="8" t="n">
        <f aca="false">'Echo (tests 2, 3E)'!H83</f>
        <v>0.00423790718891167</v>
      </c>
      <c r="I57" s="8" t="n">
        <f aca="false">'Echo (tests 2, 3E)'!G85</f>
        <v>0.00037169938097757</v>
      </c>
      <c r="J57" s="8" t="n">
        <f aca="false">'Echo (tests 2, 3E)'!H85</f>
        <v>0.00280468857813869</v>
      </c>
      <c r="K57" s="9" t="n">
        <f aca="false">G57-I57</f>
        <v>0.200361926070402</v>
      </c>
      <c r="L57" s="9" t="n">
        <f aca="false">SQRT(H57^2+J57^2)</f>
        <v>0.00508194208567658</v>
      </c>
      <c r="M57" s="5" t="n">
        <f aca="false">K57/L57</f>
        <v>39.4262513606994</v>
      </c>
      <c r="N57" s="0" t="str">
        <f aca="false">IF(OR(G57&gt;2*H57,I57&gt;2*J57),"yes","no")</f>
        <v>yes</v>
      </c>
      <c r="O57" s="0" t="str">
        <f aca="false">IF(N57="no","NOT JUDGED",IF(K57&gt;2*L57,"WIN",IF(K57&lt;-2*L57,"LOSS","TIE")))</f>
        <v>WIN</v>
      </c>
    </row>
    <row r="58" customFormat="false" ht="15" hidden="false" customHeight="false" outlineLevel="0" collapsed="false">
      <c r="A58" s="0" t="s">
        <v>27</v>
      </c>
      <c r="B58" s="0" t="s">
        <v>32</v>
      </c>
      <c r="C58" s="0" t="n">
        <v>72</v>
      </c>
      <c r="D58" s="0" t="n">
        <v>0</v>
      </c>
      <c r="E58" s="0" t="n">
        <v>50</v>
      </c>
      <c r="F58" s="0" t="s">
        <v>30</v>
      </c>
      <c r="G58" s="8" t="n">
        <f aca="false">'Echo (tests 2, 3E)'!G86</f>
        <v>0.000642379946325587</v>
      </c>
      <c r="H58" s="8" t="n">
        <f aca="false">'Echo (tests 2, 3E)'!H86</f>
        <v>0.00314458520348167</v>
      </c>
      <c r="I58" s="8" t="n">
        <f aca="false">'Echo (tests 2, 3E)'!G87</f>
        <v>0.00174338015690422</v>
      </c>
      <c r="J58" s="8" t="n">
        <f aca="false">'Echo (tests 2, 3E)'!H87</f>
        <v>0.00271770973965268</v>
      </c>
      <c r="K58" s="9" t="n">
        <f aca="false">G58-I58</f>
        <v>-0.00110100021057863</v>
      </c>
      <c r="L58" s="9" t="n">
        <f aca="false">SQRT(H58^2+J58^2)</f>
        <v>0.00415624377665205</v>
      </c>
      <c r="M58" s="5" t="n">
        <f aca="false">K58/L58</f>
        <v>-0.264902702955867</v>
      </c>
      <c r="N58" s="0" t="str">
        <f aca="false">IF(OR(G58&gt;2*H58,I58&gt;2*J58),"yes","no")</f>
        <v>no</v>
      </c>
      <c r="O58" s="0" t="str">
        <f aca="false">IF(N58="no","NOT JUDGED",IF(K58&gt;2*L58,"WIN",IF(K58&lt;-2*L58,"LOSS","TIE")))</f>
        <v>NOT JUDGED</v>
      </c>
    </row>
    <row r="59" customFormat="false" ht="15" hidden="false" customHeight="false" outlineLevel="0" collapsed="false">
      <c r="A59" s="0" t="s">
        <v>27</v>
      </c>
      <c r="B59" s="0" t="s">
        <v>32</v>
      </c>
      <c r="C59" s="0" t="n">
        <v>72</v>
      </c>
      <c r="D59" s="0" t="n">
        <v>0</v>
      </c>
      <c r="E59" s="0" t="n">
        <v>50</v>
      </c>
      <c r="F59" s="0" t="s">
        <v>31</v>
      </c>
      <c r="G59" s="8" t="n">
        <f aca="false">'Echo (tests 2, 3E)'!G86</f>
        <v>0.000642379946325587</v>
      </c>
      <c r="H59" s="8" t="n">
        <f aca="false">'Echo (tests 2, 3E)'!H86</f>
        <v>0.00314458520348167</v>
      </c>
      <c r="I59" s="8" t="n">
        <f aca="false">'Echo (tests 2, 3E)'!G88</f>
        <v>-0.00181794758012568</v>
      </c>
      <c r="J59" s="8" t="n">
        <f aca="false">'Echo (tests 2, 3E)'!H88</f>
        <v>0.0027817739988335</v>
      </c>
      <c r="K59" s="9" t="n">
        <f aca="false">G59-I59</f>
        <v>0.00246032752645127</v>
      </c>
      <c r="L59" s="9" t="n">
        <f aca="false">SQRT(H59^2+J59^2)</f>
        <v>0.00419841430572806</v>
      </c>
      <c r="M59" s="5" t="n">
        <f aca="false">K59/L59</f>
        <v>0.586013515410937</v>
      </c>
      <c r="N59" s="0" t="str">
        <f aca="false">IF(OR(G59&gt;2*H59,I59&gt;2*J59),"yes","no")</f>
        <v>no</v>
      </c>
      <c r="O59" s="0" t="str">
        <f aca="false">IF(N59="no","NOT JUDGED",IF(K59&gt;2*L59,"WIN",IF(K59&lt;-2*L59,"LOSS","TIE")))</f>
        <v>NOT JUDGED</v>
      </c>
    </row>
    <row r="60" customFormat="false" ht="15" hidden="false" customHeight="false" outlineLevel="0" collapsed="false">
      <c r="A60" s="0" t="s">
        <v>27</v>
      </c>
      <c r="B60" s="0" t="s">
        <v>32</v>
      </c>
      <c r="C60" s="0" t="n">
        <v>72</v>
      </c>
      <c r="D60" s="0" t="n">
        <v>0</v>
      </c>
      <c r="E60" s="0" t="n">
        <v>100</v>
      </c>
      <c r="F60" s="0" t="s">
        <v>30</v>
      </c>
      <c r="G60" s="8" t="n">
        <f aca="false">'Echo (tests 2, 3E)'!G89</f>
        <v>0.000171325775962994</v>
      </c>
      <c r="H60" s="8" t="n">
        <f aca="false">'Echo (tests 2, 3E)'!H89</f>
        <v>0.00279898702389034</v>
      </c>
      <c r="I60" s="8" t="n">
        <f aca="false">'Echo (tests 2, 3E)'!G90</f>
        <v>0.00111607142857143</v>
      </c>
      <c r="J60" s="8" t="n">
        <f aca="false">'Echo (tests 2, 3E)'!H90</f>
        <v>0.00274115138089303</v>
      </c>
      <c r="K60" s="9" t="n">
        <f aca="false">G60-I60</f>
        <v>-0.000944745652608434</v>
      </c>
      <c r="L60" s="9" t="n">
        <f aca="false">SQRT(H60^2+J60^2)</f>
        <v>0.00391768289335396</v>
      </c>
      <c r="M60" s="5" t="n">
        <f aca="false">K60/L60</f>
        <v>-0.241149086928684</v>
      </c>
      <c r="N60" s="0" t="str">
        <f aca="false">IF(OR(G60&gt;2*H60,I60&gt;2*J60),"yes","no")</f>
        <v>no</v>
      </c>
      <c r="O60" s="0" t="str">
        <f aca="false">IF(N60="no","NOT JUDGED",IF(K60&gt;2*L60,"WIN",IF(K60&lt;-2*L60,"LOSS","TIE")))</f>
        <v>NOT JUDGED</v>
      </c>
    </row>
    <row r="61" customFormat="false" ht="15" hidden="false" customHeight="false" outlineLevel="0" collapsed="false">
      <c r="A61" s="0" t="s">
        <v>27</v>
      </c>
      <c r="B61" s="0" t="s">
        <v>32</v>
      </c>
      <c r="C61" s="0" t="n">
        <v>72</v>
      </c>
      <c r="D61" s="0" t="n">
        <v>0</v>
      </c>
      <c r="E61" s="0" t="n">
        <v>100</v>
      </c>
      <c r="F61" s="0" t="s">
        <v>31</v>
      </c>
      <c r="G61" s="8" t="n">
        <f aca="false">'Echo (tests 2, 3E)'!G89</f>
        <v>0.000171325775962994</v>
      </c>
      <c r="H61" s="8" t="n">
        <f aca="false">'Echo (tests 2, 3E)'!H89</f>
        <v>0.00279898702389034</v>
      </c>
      <c r="I61" s="8" t="n">
        <f aca="false">'Echo (tests 2, 3E)'!G91</f>
        <v>-0.00325993708893337</v>
      </c>
      <c r="J61" s="8" t="n">
        <f aca="false">'Echo (tests 2, 3E)'!H91</f>
        <v>0.00266802453693869</v>
      </c>
      <c r="K61" s="9" t="n">
        <f aca="false">G61-I61</f>
        <v>0.00343126286489637</v>
      </c>
      <c r="L61" s="9" t="n">
        <f aca="false">SQRT(H61^2+J61^2)</f>
        <v>0.00386686996026676</v>
      </c>
      <c r="M61" s="5" t="n">
        <f aca="false">K61/L61</f>
        <v>0.887348915312285</v>
      </c>
      <c r="N61" s="0" t="str">
        <f aca="false">IF(OR(G61&gt;2*H61,I61&gt;2*J61),"yes","no")</f>
        <v>no</v>
      </c>
      <c r="O61" s="0" t="str">
        <f aca="false">IF(N61="no","NOT JUDGED",IF(K61&gt;2*L61,"WIN",IF(K61&lt;-2*L61,"LOSS","TIE")))</f>
        <v>NOT JUDGED</v>
      </c>
    </row>
    <row r="62" customFormat="false" ht="15" hidden="false" customHeight="false" outlineLevel="0" collapsed="false">
      <c r="A62" s="0" t="s">
        <v>27</v>
      </c>
      <c r="B62" s="0" t="s">
        <v>32</v>
      </c>
      <c r="C62" s="0" t="n">
        <v>72</v>
      </c>
      <c r="D62" s="0" t="n">
        <v>0.1</v>
      </c>
      <c r="E62" s="0" t="n">
        <v>24</v>
      </c>
      <c r="F62" s="0" t="s">
        <v>30</v>
      </c>
      <c r="G62" s="8" t="n">
        <f aca="false">'Echo (tests 2, 3E)'!G92</f>
        <v>0.211193166397646</v>
      </c>
      <c r="H62" s="8" t="n">
        <f aca="false">'Echo (tests 2, 3E)'!H92</f>
        <v>0.00411015936152508</v>
      </c>
      <c r="I62" s="8" t="n">
        <f aca="false">'Echo (tests 2, 3E)'!G93</f>
        <v>0.018138227277268</v>
      </c>
      <c r="J62" s="8" t="n">
        <f aca="false">'Echo (tests 2, 3E)'!H93</f>
        <v>0.00289442281159212</v>
      </c>
      <c r="K62" s="9" t="n">
        <f aca="false">G62-I62</f>
        <v>0.193054939120378</v>
      </c>
      <c r="L62" s="9" t="n">
        <f aca="false">SQRT(H62^2+J62^2)</f>
        <v>0.00502703624309564</v>
      </c>
      <c r="M62" s="5" t="n">
        <f aca="false">K62/L62</f>
        <v>38.4033314630521</v>
      </c>
      <c r="N62" s="0" t="str">
        <f aca="false">IF(OR(G62&gt;2*H62,I62&gt;2*J62),"yes","no")</f>
        <v>yes</v>
      </c>
      <c r="O62" s="0" t="str">
        <f aca="false">IF(N62="no","NOT JUDGED",IF(K62&gt;2*L62,"WIN",IF(K62&lt;-2*L62,"LOSS","TIE")))</f>
        <v>WIN</v>
      </c>
    </row>
    <row r="63" customFormat="false" ht="15" hidden="false" customHeight="false" outlineLevel="0" collapsed="false">
      <c r="A63" s="0" t="s">
        <v>27</v>
      </c>
      <c r="B63" s="0" t="s">
        <v>32</v>
      </c>
      <c r="C63" s="0" t="n">
        <v>72</v>
      </c>
      <c r="D63" s="0" t="n">
        <v>0.1</v>
      </c>
      <c r="E63" s="0" t="n">
        <v>24</v>
      </c>
      <c r="F63" s="0" t="s">
        <v>31</v>
      </c>
      <c r="G63" s="8" t="n">
        <f aca="false">'Echo (tests 2, 3E)'!G92</f>
        <v>0.211193166397646</v>
      </c>
      <c r="H63" s="8" t="n">
        <f aca="false">'Echo (tests 2, 3E)'!H92</f>
        <v>0.00411015936152508</v>
      </c>
      <c r="I63" s="8" t="n">
        <f aca="false">'Echo (tests 2, 3E)'!G94</f>
        <v>-1.43086080586073E-005</v>
      </c>
      <c r="J63" s="8" t="n">
        <f aca="false">'Echo (tests 2, 3E)'!H94</f>
        <v>0.00277327540246541</v>
      </c>
      <c r="K63" s="9" t="n">
        <f aca="false">G63-I63</f>
        <v>0.211207475005705</v>
      </c>
      <c r="L63" s="9" t="n">
        <f aca="false">SQRT(H63^2+J63^2)</f>
        <v>0.00495827252529063</v>
      </c>
      <c r="M63" s="5" t="n">
        <f aca="false">K63/L63</f>
        <v>42.596987948605</v>
      </c>
      <c r="N63" s="0" t="str">
        <f aca="false">IF(OR(G63&gt;2*H63,I63&gt;2*J63),"yes","no")</f>
        <v>yes</v>
      </c>
      <c r="O63" s="0" t="str">
        <f aca="false">IF(N63="no","NOT JUDGED",IF(K63&gt;2*L63,"WIN",IF(K63&lt;-2*L63,"LOSS","TIE")))</f>
        <v>WIN</v>
      </c>
    </row>
    <row r="64" customFormat="false" ht="15" hidden="false" customHeight="false" outlineLevel="0" collapsed="false">
      <c r="A64" s="0" t="s">
        <v>27</v>
      </c>
      <c r="B64" s="0" t="s">
        <v>32</v>
      </c>
      <c r="C64" s="0" t="n">
        <v>72</v>
      </c>
      <c r="D64" s="0" t="n">
        <v>0.1</v>
      </c>
      <c r="E64" s="0" t="n">
        <v>50</v>
      </c>
      <c r="F64" s="0" t="s">
        <v>30</v>
      </c>
      <c r="G64" s="8" t="n">
        <f aca="false">'Echo (tests 2, 3E)'!G95</f>
        <v>0.01018295034205</v>
      </c>
      <c r="H64" s="8" t="n">
        <f aca="false">'Echo (tests 2, 3E)'!H95</f>
        <v>0.00297092379665244</v>
      </c>
      <c r="I64" s="8" t="n">
        <f aca="false">'Echo (tests 2, 3E)'!G96</f>
        <v>0.000343141460066913</v>
      </c>
      <c r="J64" s="8" t="n">
        <f aca="false">'Echo (tests 2, 3E)'!H96</f>
        <v>0.00270731398350574</v>
      </c>
      <c r="K64" s="9" t="n">
        <f aca="false">G64-I64</f>
        <v>0.0098398088819831</v>
      </c>
      <c r="L64" s="9" t="n">
        <f aca="false">SQRT(H64^2+J64^2)</f>
        <v>0.00401944488838963</v>
      </c>
      <c r="M64" s="5" t="n">
        <f aca="false">K64/L64</f>
        <v>2.44805169748835</v>
      </c>
      <c r="N64" s="0" t="str">
        <f aca="false">IF(OR(G64&gt;2*H64,I64&gt;2*J64),"yes","no")</f>
        <v>yes</v>
      </c>
      <c r="O64" s="0" t="str">
        <f aca="false">IF(N64="no","NOT JUDGED",IF(K64&gt;2*L64,"WIN",IF(K64&lt;-2*L64,"LOSS","TIE")))</f>
        <v>WIN</v>
      </c>
    </row>
    <row r="65" customFormat="false" ht="15" hidden="false" customHeight="false" outlineLevel="0" collapsed="false">
      <c r="A65" s="0" t="s">
        <v>27</v>
      </c>
      <c r="B65" s="0" t="s">
        <v>32</v>
      </c>
      <c r="C65" s="0" t="n">
        <v>72</v>
      </c>
      <c r="D65" s="0" t="n">
        <v>0.1</v>
      </c>
      <c r="E65" s="0" t="n">
        <v>50</v>
      </c>
      <c r="F65" s="0" t="s">
        <v>31</v>
      </c>
      <c r="G65" s="8" t="n">
        <f aca="false">'Echo (tests 2, 3E)'!G95</f>
        <v>0.01018295034205</v>
      </c>
      <c r="H65" s="8" t="n">
        <f aca="false">'Echo (tests 2, 3E)'!H95</f>
        <v>0.00297092379665244</v>
      </c>
      <c r="I65" s="8" t="n">
        <f aca="false">'Echo (tests 2, 3E)'!G97</f>
        <v>-0.000743165025510568</v>
      </c>
      <c r="J65" s="8" t="n">
        <f aca="false">'Echo (tests 2, 3E)'!H97</f>
        <v>0.00272384341416577</v>
      </c>
      <c r="K65" s="9" t="n">
        <f aca="false">G65-I65</f>
        <v>0.0109261153675606</v>
      </c>
      <c r="L65" s="9" t="n">
        <f aca="false">SQRT(H65^2+J65^2)</f>
        <v>0.00403059687272369</v>
      </c>
      <c r="M65" s="5" t="n">
        <f aca="false">K65/L65</f>
        <v>2.71079339179292</v>
      </c>
      <c r="N65" s="0" t="str">
        <f aca="false">IF(OR(G65&gt;2*H65,I65&gt;2*J65),"yes","no")</f>
        <v>yes</v>
      </c>
      <c r="O65" s="0" t="str">
        <f aca="false">IF(N65="no","NOT JUDGED",IF(K65&gt;2*L65,"WIN",IF(K65&lt;-2*L65,"LOSS","TIE")))</f>
        <v>WIN</v>
      </c>
    </row>
    <row r="66" customFormat="false" ht="15" hidden="false" customHeight="false" outlineLevel="0" collapsed="false">
      <c r="A66" s="0" t="s">
        <v>27</v>
      </c>
      <c r="B66" s="0" t="s">
        <v>32</v>
      </c>
      <c r="C66" s="0" t="n">
        <v>72</v>
      </c>
      <c r="D66" s="0" t="n">
        <v>0.1</v>
      </c>
      <c r="E66" s="0" t="n">
        <v>100</v>
      </c>
      <c r="F66" s="0" t="s">
        <v>30</v>
      </c>
      <c r="G66" s="8" t="n">
        <f aca="false">'Echo (tests 2, 3E)'!G98</f>
        <v>0.00435484101260762</v>
      </c>
      <c r="H66" s="8" t="n">
        <f aca="false">'Echo (tests 2, 3E)'!H98</f>
        <v>0.00275093412481213</v>
      </c>
      <c r="I66" s="8" t="n">
        <f aca="false">'Echo (tests 2, 3E)'!G99</f>
        <v>-0.000700640585678335</v>
      </c>
      <c r="J66" s="8" t="n">
        <f aca="false">'Echo (tests 2, 3E)'!H99</f>
        <v>0.00271392054494568</v>
      </c>
      <c r="K66" s="9" t="n">
        <f aca="false">G66-I66</f>
        <v>0.00505548159828596</v>
      </c>
      <c r="L66" s="9" t="n">
        <f aca="false">SQRT(H66^2+J66^2)</f>
        <v>0.00386432442780548</v>
      </c>
      <c r="M66" s="5" t="n">
        <f aca="false">K66/L66</f>
        <v>1.30824460852965</v>
      </c>
      <c r="N66" s="0" t="str">
        <f aca="false">IF(OR(G66&gt;2*H66,I66&gt;2*J66),"yes","no")</f>
        <v>no</v>
      </c>
      <c r="O66" s="0" t="str">
        <f aca="false">IF(N66="no","NOT JUDGED",IF(K66&gt;2*L66,"WIN",IF(K66&lt;-2*L66,"LOSS","TIE")))</f>
        <v>NOT JUDGED</v>
      </c>
    </row>
    <row r="67" customFormat="false" ht="15" hidden="false" customHeight="false" outlineLevel="0" collapsed="false">
      <c r="A67" s="0" t="s">
        <v>27</v>
      </c>
      <c r="B67" s="0" t="s">
        <v>32</v>
      </c>
      <c r="C67" s="0" t="n">
        <v>72</v>
      </c>
      <c r="D67" s="0" t="n">
        <v>0.1</v>
      </c>
      <c r="E67" s="0" t="n">
        <v>100</v>
      </c>
      <c r="F67" s="0" t="s">
        <v>31</v>
      </c>
      <c r="G67" s="8" t="n">
        <f aca="false">'Echo (tests 2, 3E)'!G98</f>
        <v>0.00435484101260762</v>
      </c>
      <c r="H67" s="8" t="n">
        <f aca="false">'Echo (tests 2, 3E)'!H98</f>
        <v>0.00275093412481213</v>
      </c>
      <c r="I67" s="8" t="n">
        <f aca="false">'Echo (tests 2, 3E)'!G100</f>
        <v>-0.0018729804695319</v>
      </c>
      <c r="J67" s="8" t="n">
        <f aca="false">'Echo (tests 2, 3E)'!H100</f>
        <v>0.00268478191968004</v>
      </c>
      <c r="K67" s="9" t="n">
        <f aca="false">G67-I67</f>
        <v>0.00622782148213952</v>
      </c>
      <c r="L67" s="9" t="n">
        <f aca="false">SQRT(H67^2+J67^2)</f>
        <v>0.00384391629920537</v>
      </c>
      <c r="M67" s="5" t="n">
        <f aca="false">K67/L67</f>
        <v>1.62017614260408</v>
      </c>
      <c r="N67" s="0" t="str">
        <f aca="false">IF(OR(G67&gt;2*H67,I67&gt;2*J67),"yes","no")</f>
        <v>no</v>
      </c>
      <c r="O67" s="0" t="str">
        <f aca="false">IF(N67="no","NOT JUDGED",IF(K67&gt;2*L67,"WIN",IF(K67&lt;-2*L67,"LOSS","TIE")))</f>
        <v>NOT JUDGED</v>
      </c>
    </row>
    <row r="68" customFormat="false" ht="15" hidden="false" customHeight="false" outlineLevel="0" collapsed="false">
      <c r="A68" s="0" t="s">
        <v>27</v>
      </c>
      <c r="B68" s="0" t="s">
        <v>32</v>
      </c>
      <c r="C68" s="0" t="n">
        <v>72</v>
      </c>
      <c r="D68" s="0" t="n">
        <v>0.3</v>
      </c>
      <c r="E68" s="0" t="n">
        <v>24</v>
      </c>
      <c r="F68" s="0" t="s">
        <v>30</v>
      </c>
      <c r="G68" s="8" t="n">
        <f aca="false">'Echo (tests 2, 3E)'!G101</f>
        <v>0.23082841754296</v>
      </c>
      <c r="H68" s="8" t="n">
        <f aca="false">'Echo (tests 2, 3E)'!H101</f>
        <v>0.00388479621621565</v>
      </c>
      <c r="I68" s="8" t="n">
        <f aca="false">'Echo (tests 2, 3E)'!G102</f>
        <v>0.0205483364272455</v>
      </c>
      <c r="J68" s="8" t="n">
        <f aca="false">'Echo (tests 2, 3E)'!H102</f>
        <v>0.00291868933440377</v>
      </c>
      <c r="K68" s="9" t="n">
        <f aca="false">G68-I68</f>
        <v>0.210280081115714</v>
      </c>
      <c r="L68" s="9" t="n">
        <f aca="false">SQRT(H68^2+J68^2)</f>
        <v>0.00485905228128755</v>
      </c>
      <c r="M68" s="5" t="n">
        <f aca="false">K68/L68</f>
        <v>43.2759453783845</v>
      </c>
      <c r="N68" s="0" t="str">
        <f aca="false">IF(OR(G68&gt;2*H68,I68&gt;2*J68),"yes","no")</f>
        <v>yes</v>
      </c>
      <c r="O68" s="0" t="str">
        <f aca="false">IF(N68="no","NOT JUDGED",IF(K68&gt;2*L68,"WIN",IF(K68&lt;-2*L68,"LOSS","TIE")))</f>
        <v>WIN</v>
      </c>
    </row>
    <row r="69" customFormat="false" ht="15" hidden="false" customHeight="false" outlineLevel="0" collapsed="false">
      <c r="A69" s="0" t="s">
        <v>27</v>
      </c>
      <c r="B69" s="0" t="s">
        <v>32</v>
      </c>
      <c r="C69" s="0" t="n">
        <v>72</v>
      </c>
      <c r="D69" s="0" t="n">
        <v>0.3</v>
      </c>
      <c r="E69" s="0" t="n">
        <v>24</v>
      </c>
      <c r="F69" s="0" t="s">
        <v>31</v>
      </c>
      <c r="G69" s="8" t="n">
        <f aca="false">'Echo (tests 2, 3E)'!G101</f>
        <v>0.23082841754296</v>
      </c>
      <c r="H69" s="8" t="n">
        <f aca="false">'Echo (tests 2, 3E)'!H101</f>
        <v>0.00388479621621565</v>
      </c>
      <c r="I69" s="8" t="n">
        <f aca="false">'Echo (tests 2, 3E)'!G103</f>
        <v>8.58541052571315E-005</v>
      </c>
      <c r="J69" s="8" t="n">
        <f aca="false">'Echo (tests 2, 3E)'!H103</f>
        <v>0.0027678243002662</v>
      </c>
      <c r="K69" s="9" t="n">
        <f aca="false">G69-I69</f>
        <v>0.230742563437703</v>
      </c>
      <c r="L69" s="9" t="n">
        <f aca="false">SQRT(H69^2+J69^2)</f>
        <v>0.00476995733719574</v>
      </c>
      <c r="M69" s="5" t="n">
        <f aca="false">K69/L69</f>
        <v>48.3741356842735</v>
      </c>
      <c r="N69" s="0" t="str">
        <f aca="false">IF(OR(G69&gt;2*H69,I69&gt;2*J69),"yes","no")</f>
        <v>yes</v>
      </c>
      <c r="O69" s="0" t="str">
        <f aca="false">IF(N69="no","NOT JUDGED",IF(K69&gt;2*L69,"WIN",IF(K69&lt;-2*L69,"LOSS","TIE")))</f>
        <v>WIN</v>
      </c>
    </row>
    <row r="70" customFormat="false" ht="15" hidden="false" customHeight="false" outlineLevel="0" collapsed="false">
      <c r="A70" s="0" t="s">
        <v>27</v>
      </c>
      <c r="B70" s="0" t="s">
        <v>32</v>
      </c>
      <c r="C70" s="0" t="n">
        <v>72</v>
      </c>
      <c r="D70" s="0" t="n">
        <v>0.3</v>
      </c>
      <c r="E70" s="0" t="n">
        <v>50</v>
      </c>
      <c r="F70" s="0" t="s">
        <v>30</v>
      </c>
      <c r="G70" s="8" t="n">
        <f aca="false">'Echo (tests 2, 3E)'!G104</f>
        <v>0.00432295159150248</v>
      </c>
      <c r="H70" s="8" t="n">
        <f aca="false">'Echo (tests 2, 3E)'!H104</f>
        <v>0.00290023310630989</v>
      </c>
      <c r="I70" s="8" t="n">
        <f aca="false">'Echo (tests 2, 3E)'!G105</f>
        <v>0.00149843734391278</v>
      </c>
      <c r="J70" s="8" t="n">
        <f aca="false">'Echo (tests 2, 3E)'!H105</f>
        <v>0.00273533243338789</v>
      </c>
      <c r="K70" s="9" t="n">
        <f aca="false">G70-I70</f>
        <v>0.0028245142475897</v>
      </c>
      <c r="L70" s="9" t="n">
        <f aca="false">SQRT(H70^2+J70^2)</f>
        <v>0.00398665217846749</v>
      </c>
      <c r="M70" s="5" t="n">
        <f aca="false">K70/L70</f>
        <v>0.708492770662393</v>
      </c>
      <c r="N70" s="0" t="str">
        <f aca="false">IF(OR(G70&gt;2*H70,I70&gt;2*J70),"yes","no")</f>
        <v>no</v>
      </c>
      <c r="O70" s="0" t="str">
        <f aca="false">IF(N70="no","NOT JUDGED",IF(K70&gt;2*L70,"WIN",IF(K70&lt;-2*L70,"LOSS","TIE")))</f>
        <v>NOT JUDGED</v>
      </c>
    </row>
    <row r="71" customFormat="false" ht="15" hidden="false" customHeight="false" outlineLevel="0" collapsed="false">
      <c r="A71" s="0" t="s">
        <v>27</v>
      </c>
      <c r="B71" s="0" t="s">
        <v>32</v>
      </c>
      <c r="C71" s="0" t="n">
        <v>72</v>
      </c>
      <c r="D71" s="0" t="n">
        <v>0.3</v>
      </c>
      <c r="E71" s="0" t="n">
        <v>50</v>
      </c>
      <c r="F71" s="0" t="s">
        <v>31</v>
      </c>
      <c r="G71" s="8" t="n">
        <f aca="false">'Echo (tests 2, 3E)'!G104</f>
        <v>0.00432295159150248</v>
      </c>
      <c r="H71" s="8" t="n">
        <f aca="false">'Echo (tests 2, 3E)'!H104</f>
        <v>0.00290023310630989</v>
      </c>
      <c r="I71" s="8" t="n">
        <f aca="false">'Echo (tests 2, 3E)'!G106</f>
        <v>0.000486994385241206</v>
      </c>
      <c r="J71" s="8" t="n">
        <f aca="false">'Echo (tests 2, 3E)'!H106</f>
        <v>0.00276846367297258</v>
      </c>
      <c r="K71" s="9" t="n">
        <f aca="false">G71-I71</f>
        <v>0.00383595720626127</v>
      </c>
      <c r="L71" s="9" t="n">
        <f aca="false">SQRT(H71^2+J71^2)</f>
        <v>0.00400945671874691</v>
      </c>
      <c r="M71" s="5" t="n">
        <f aca="false">K71/L71</f>
        <v>0.95672742601899</v>
      </c>
      <c r="N71" s="0" t="str">
        <f aca="false">IF(OR(G71&gt;2*H71,I71&gt;2*J71),"yes","no")</f>
        <v>no</v>
      </c>
      <c r="O71" s="0" t="str">
        <f aca="false">IF(N71="no","NOT JUDGED",IF(K71&gt;2*L71,"WIN",IF(K71&lt;-2*L71,"LOSS","TIE")))</f>
        <v>NOT JUDGED</v>
      </c>
    </row>
    <row r="72" customFormat="false" ht="15" hidden="false" customHeight="false" outlineLevel="0" collapsed="false">
      <c r="A72" s="0" t="s">
        <v>27</v>
      </c>
      <c r="B72" s="0" t="s">
        <v>32</v>
      </c>
      <c r="C72" s="0" t="n">
        <v>72</v>
      </c>
      <c r="D72" s="0" t="n">
        <v>0.3</v>
      </c>
      <c r="E72" s="0" t="n">
        <v>100</v>
      </c>
      <c r="F72" s="0" t="s">
        <v>30</v>
      </c>
      <c r="G72" s="8" t="n">
        <f aca="false">'Echo (tests 2, 3E)'!G107</f>
        <v>-0.00295351425391662</v>
      </c>
      <c r="H72" s="8" t="n">
        <f aca="false">'Echo (tests 2, 3E)'!H107</f>
        <v>0.00272254557513864</v>
      </c>
      <c r="I72" s="8" t="n">
        <f aca="false">'Echo (tests 2, 3E)'!G108</f>
        <v>-0.00034317580610567</v>
      </c>
      <c r="J72" s="8" t="n">
        <f aca="false">'Echo (tests 2, 3E)'!H108</f>
        <v>0.00274218427923841</v>
      </c>
      <c r="K72" s="9" t="n">
        <f aca="false">G72-I72</f>
        <v>-0.00261033844781095</v>
      </c>
      <c r="L72" s="9" t="n">
        <f aca="false">SQRT(H72^2+J72^2)</f>
        <v>0.00386417248968123</v>
      </c>
      <c r="M72" s="5" t="n">
        <f aca="false">K72/L72</f>
        <v>-0.675523273037504</v>
      </c>
      <c r="N72" s="0" t="str">
        <f aca="false">IF(OR(G72&gt;2*H72,I72&gt;2*J72),"yes","no")</f>
        <v>no</v>
      </c>
      <c r="O72" s="0" t="str">
        <f aca="false">IF(N72="no","NOT JUDGED",IF(K72&gt;2*L72,"WIN",IF(K72&lt;-2*L72,"LOSS","TIE")))</f>
        <v>NOT JUDGED</v>
      </c>
    </row>
    <row r="73" customFormat="false" ht="15" hidden="false" customHeight="false" outlineLevel="0" collapsed="false">
      <c r="A73" s="0" t="s">
        <v>27</v>
      </c>
      <c r="B73" s="0" t="s">
        <v>32</v>
      </c>
      <c r="C73" s="0" t="n">
        <v>72</v>
      </c>
      <c r="D73" s="0" t="n">
        <v>0.3</v>
      </c>
      <c r="E73" s="0" t="n">
        <v>100</v>
      </c>
      <c r="F73" s="0" t="s">
        <v>31</v>
      </c>
      <c r="G73" s="8" t="n">
        <f aca="false">'Echo (tests 2, 3E)'!G107</f>
        <v>-0.00295351425391662</v>
      </c>
      <c r="H73" s="8" t="n">
        <f aca="false">'Echo (tests 2, 3E)'!H107</f>
        <v>0.00272254557513864</v>
      </c>
      <c r="I73" s="8" t="n">
        <f aca="false">'Echo (tests 2, 3E)'!G109</f>
        <v>0.00287598906837986</v>
      </c>
      <c r="J73" s="8" t="n">
        <f aca="false">'Echo (tests 2, 3E)'!H109</f>
        <v>0.00270577136548404</v>
      </c>
      <c r="K73" s="9" t="n">
        <f aca="false">G73-I73</f>
        <v>-0.00582950332229647</v>
      </c>
      <c r="L73" s="9" t="n">
        <f aca="false">SQRT(H73^2+J73^2)</f>
        <v>0.00383841804536457</v>
      </c>
      <c r="M73" s="5" t="n">
        <f aca="false">K73/L73</f>
        <v>-1.51872548883424</v>
      </c>
      <c r="N73" s="0" t="str">
        <f aca="false">IF(OR(G73&gt;2*H73,I73&gt;2*J73),"yes","no")</f>
        <v>no</v>
      </c>
      <c r="O73" s="0" t="str">
        <f aca="false">IF(N73="no","NOT JUDGED",IF(K73&gt;2*L73,"WIN",IF(K73&lt;-2*L73,"LOSS","TIE")))</f>
        <v>NOT JUDGED</v>
      </c>
    </row>
    <row r="74" customFormat="false" ht="15" hidden="false" customHeight="false" outlineLevel="0" collapsed="false">
      <c r="A74" s="0" t="s">
        <v>33</v>
      </c>
      <c r="B74" s="0" t="s">
        <v>28</v>
      </c>
      <c r="C74" s="0" t="n">
        <v>20</v>
      </c>
      <c r="D74" s="0" t="n">
        <v>0</v>
      </c>
      <c r="E74" s="0" t="n">
        <v>24</v>
      </c>
      <c r="F74" s="0" t="s">
        <v>30</v>
      </c>
      <c r="G74" s="8" t="n">
        <f aca="false">'Echo (tests 2, 3E)'!G110</f>
        <v>0.202292473568513</v>
      </c>
      <c r="H74" s="8" t="n">
        <f aca="false">'Echo (tests 2, 3E)'!H110</f>
        <v>0.00933843266798175</v>
      </c>
      <c r="I74" s="8" t="n">
        <f aca="false">'Echo (tests 2, 3E)'!G111</f>
        <v>0.0207688676771385</v>
      </c>
      <c r="J74" s="8" t="n">
        <f aca="false">'Echo (tests 2, 3E)'!H111</f>
        <v>0.00618237181965726</v>
      </c>
      <c r="K74" s="9" t="n">
        <f aca="false">G74-I74</f>
        <v>0.181523605891374</v>
      </c>
      <c r="L74" s="9" t="n">
        <f aca="false">SQRT(H74^2+J74^2)</f>
        <v>0.0111994663270587</v>
      </c>
      <c r="M74" s="5" t="n">
        <f aca="false">K74/L74</f>
        <v>16.2082371240137</v>
      </c>
      <c r="N74" s="0" t="str">
        <f aca="false">IF(OR(G74&gt;2*H74,I74&gt;2*J74),"yes","no")</f>
        <v>yes</v>
      </c>
      <c r="O74" s="0" t="str">
        <f aca="false">IF(N74="no","NOT JUDGED",IF(K74&gt;2*L74,"WIN",IF(K74&lt;-2*L74,"LOSS","TIE")))</f>
        <v>WIN</v>
      </c>
    </row>
    <row r="75" customFormat="false" ht="15" hidden="false" customHeight="false" outlineLevel="0" collapsed="false">
      <c r="A75" s="0" t="s">
        <v>33</v>
      </c>
      <c r="B75" s="0" t="s">
        <v>28</v>
      </c>
      <c r="C75" s="0" t="n">
        <v>20</v>
      </c>
      <c r="D75" s="0" t="n">
        <v>0</v>
      </c>
      <c r="E75" s="0" t="n">
        <v>24</v>
      </c>
      <c r="F75" s="0" t="s">
        <v>31</v>
      </c>
      <c r="G75" s="8" t="n">
        <f aca="false">'Echo (tests 2, 3E)'!G110</f>
        <v>0.202292473568513</v>
      </c>
      <c r="H75" s="8" t="n">
        <f aca="false">'Echo (tests 2, 3E)'!H110</f>
        <v>0.00933843266798175</v>
      </c>
      <c r="I75" s="8" t="n">
        <f aca="false">'Echo (tests 2, 3E)'!G112</f>
        <v>0.0271228875443355</v>
      </c>
      <c r="J75" s="8" t="n">
        <f aca="false">'Echo (tests 2, 3E)'!H112</f>
        <v>0.00620893652701899</v>
      </c>
      <c r="K75" s="9" t="n">
        <f aca="false">G75-I75</f>
        <v>0.175169586024177</v>
      </c>
      <c r="L75" s="9" t="n">
        <f aca="false">SQRT(H75^2+J75^2)</f>
        <v>0.0112141525534023</v>
      </c>
      <c r="M75" s="5" t="n">
        <f aca="false">K75/L75</f>
        <v>15.6204033421172</v>
      </c>
      <c r="N75" s="0" t="str">
        <f aca="false">IF(OR(G75&gt;2*H75,I75&gt;2*J75),"yes","no")</f>
        <v>yes</v>
      </c>
      <c r="O75" s="0" t="str">
        <f aca="false">IF(N75="no","NOT JUDGED",IF(K75&gt;2*L75,"WIN",IF(K75&lt;-2*L75,"LOSS","TIE")))</f>
        <v>WIN</v>
      </c>
    </row>
    <row r="76" customFormat="false" ht="15" hidden="false" customHeight="false" outlineLevel="0" collapsed="false">
      <c r="A76" s="0" t="s">
        <v>33</v>
      </c>
      <c r="B76" s="0" t="s">
        <v>28</v>
      </c>
      <c r="C76" s="0" t="n">
        <v>20</v>
      </c>
      <c r="D76" s="0" t="n">
        <v>0</v>
      </c>
      <c r="E76" s="0" t="n">
        <v>50</v>
      </c>
      <c r="F76" s="0" t="s">
        <v>30</v>
      </c>
      <c r="G76" s="8" t="n">
        <f aca="false">'Echo (tests 2, 3E)'!G113</f>
        <v>0.0258801341156748</v>
      </c>
      <c r="H76" s="8" t="n">
        <f aca="false">'Echo (tests 2, 3E)'!H113</f>
        <v>0.00698187968350048</v>
      </c>
      <c r="I76" s="8" t="n">
        <f aca="false">'Echo (tests 2, 3E)'!G114</f>
        <v>-0.00615994988515348</v>
      </c>
      <c r="J76" s="8" t="n">
        <f aca="false">'Echo (tests 2, 3E)'!H114</f>
        <v>0.0053258088833311</v>
      </c>
      <c r="K76" s="9" t="n">
        <f aca="false">G76-I76</f>
        <v>0.0320400840008282</v>
      </c>
      <c r="L76" s="9" t="n">
        <f aca="false">SQRT(H76^2+J76^2)</f>
        <v>0.0087812803267317</v>
      </c>
      <c r="M76" s="5" t="n">
        <f aca="false">K76/L76</f>
        <v>3.64868023895022</v>
      </c>
      <c r="N76" s="0" t="str">
        <f aca="false">IF(OR(G76&gt;2*H76,I76&gt;2*J76),"yes","no")</f>
        <v>yes</v>
      </c>
      <c r="O76" s="0" t="str">
        <f aca="false">IF(N76="no","NOT JUDGED",IF(K76&gt;2*L76,"WIN",IF(K76&lt;-2*L76,"LOSS","TIE")))</f>
        <v>WIN</v>
      </c>
    </row>
    <row r="77" customFormat="false" ht="15" hidden="false" customHeight="false" outlineLevel="0" collapsed="false">
      <c r="A77" s="0" t="s">
        <v>33</v>
      </c>
      <c r="B77" s="0" t="s">
        <v>28</v>
      </c>
      <c r="C77" s="0" t="n">
        <v>20</v>
      </c>
      <c r="D77" s="0" t="n">
        <v>0</v>
      </c>
      <c r="E77" s="0" t="n">
        <v>50</v>
      </c>
      <c r="F77" s="0" t="s">
        <v>31</v>
      </c>
      <c r="G77" s="8" t="n">
        <f aca="false">'Echo (tests 2, 3E)'!G113</f>
        <v>0.0258801341156748</v>
      </c>
      <c r="H77" s="8" t="n">
        <f aca="false">'Echo (tests 2, 3E)'!H113</f>
        <v>0.00698187968350048</v>
      </c>
      <c r="I77" s="8" t="n">
        <f aca="false">'Echo (tests 2, 3E)'!G115</f>
        <v>-0.0051948051948052</v>
      </c>
      <c r="J77" s="8" t="n">
        <f aca="false">'Echo (tests 2, 3E)'!H115</f>
        <v>0.00522638597000345</v>
      </c>
      <c r="K77" s="9" t="n">
        <f aca="false">G77-I77</f>
        <v>0.03107493931048</v>
      </c>
      <c r="L77" s="9" t="n">
        <f aca="false">SQRT(H77^2+J77^2)</f>
        <v>0.00872133901544514</v>
      </c>
      <c r="M77" s="5" t="n">
        <f aca="false">K77/L77</f>
        <v>3.56309269201065</v>
      </c>
      <c r="N77" s="0" t="str">
        <f aca="false">IF(OR(G77&gt;2*H77,I77&gt;2*J77),"yes","no")</f>
        <v>yes</v>
      </c>
      <c r="O77" s="0" t="str">
        <f aca="false">IF(N77="no","NOT JUDGED",IF(K77&gt;2*L77,"WIN",IF(K77&lt;-2*L77,"LOSS","TIE")))</f>
        <v>WIN</v>
      </c>
    </row>
    <row r="78" customFormat="false" ht="15" hidden="false" customHeight="false" outlineLevel="0" collapsed="false">
      <c r="A78" s="0" t="s">
        <v>33</v>
      </c>
      <c r="B78" s="0" t="s">
        <v>28</v>
      </c>
      <c r="C78" s="0" t="n">
        <v>20</v>
      </c>
      <c r="D78" s="0" t="n">
        <v>0</v>
      </c>
      <c r="E78" s="0" t="n">
        <v>100</v>
      </c>
      <c r="F78" s="0" t="s">
        <v>30</v>
      </c>
      <c r="G78" s="8" t="n">
        <f aca="false">'Echo (tests 2, 3E)'!G116</f>
        <v>0.00229885057471264</v>
      </c>
      <c r="H78" s="8" t="n">
        <f aca="false">'Echo (tests 2, 3E)'!H116</f>
        <v>0.00557988463062883</v>
      </c>
      <c r="I78" s="8" t="n">
        <f aca="false">'Echo (tests 2, 3E)'!G117</f>
        <v>-0.00800963249921475</v>
      </c>
      <c r="J78" s="8" t="n">
        <f aca="false">'Echo (tests 2, 3E)'!H117</f>
        <v>0.0052766875153931</v>
      </c>
      <c r="K78" s="9" t="n">
        <f aca="false">G78-I78</f>
        <v>0.0103084830739274</v>
      </c>
      <c r="L78" s="9" t="n">
        <f aca="false">SQRT(H78^2+J78^2)</f>
        <v>0.00767974892989565</v>
      </c>
      <c r="M78" s="5" t="n">
        <f aca="false">K78/L78</f>
        <v>1.34229428175687</v>
      </c>
      <c r="N78" s="0" t="str">
        <f aca="false">IF(OR(G78&gt;2*H78,I78&gt;2*J78),"yes","no")</f>
        <v>no</v>
      </c>
      <c r="O78" s="0" t="str">
        <f aca="false">IF(N78="no","NOT JUDGED",IF(K78&gt;2*L78,"WIN",IF(K78&lt;-2*L78,"LOSS","TIE")))</f>
        <v>NOT JUDGED</v>
      </c>
    </row>
    <row r="79" customFormat="false" ht="15" hidden="false" customHeight="false" outlineLevel="0" collapsed="false">
      <c r="A79" s="0" t="s">
        <v>33</v>
      </c>
      <c r="B79" s="0" t="s">
        <v>28</v>
      </c>
      <c r="C79" s="0" t="n">
        <v>20</v>
      </c>
      <c r="D79" s="0" t="n">
        <v>0</v>
      </c>
      <c r="E79" s="0" t="n">
        <v>100</v>
      </c>
      <c r="F79" s="0" t="s">
        <v>31</v>
      </c>
      <c r="G79" s="8" t="n">
        <f aca="false">'Echo (tests 2, 3E)'!G116</f>
        <v>0.00229885057471264</v>
      </c>
      <c r="H79" s="8" t="n">
        <f aca="false">'Echo (tests 2, 3E)'!H116</f>
        <v>0.00557988463062883</v>
      </c>
      <c r="I79" s="8" t="n">
        <f aca="false">'Echo (tests 2, 3E)'!G118</f>
        <v>-0.000207889402837691</v>
      </c>
      <c r="J79" s="8" t="n">
        <f aca="false">'Echo (tests 2, 3E)'!H118</f>
        <v>0.00513805060185755</v>
      </c>
      <c r="K79" s="9" t="n">
        <f aca="false">G79-I79</f>
        <v>0.00250673997755034</v>
      </c>
      <c r="L79" s="9" t="n">
        <f aca="false">SQRT(H79^2+J79^2)</f>
        <v>0.00758516159869891</v>
      </c>
      <c r="M79" s="5" t="n">
        <f aca="false">K79/L79</f>
        <v>0.330479442650282</v>
      </c>
      <c r="N79" s="0" t="str">
        <f aca="false">IF(OR(G79&gt;2*H79,I79&gt;2*J79),"yes","no")</f>
        <v>no</v>
      </c>
      <c r="O79" s="0" t="str">
        <f aca="false">IF(N79="no","NOT JUDGED",IF(K79&gt;2*L79,"WIN",IF(K79&lt;-2*L79,"LOSS","TIE")))</f>
        <v>NOT JUDGED</v>
      </c>
    </row>
    <row r="80" customFormat="false" ht="15" hidden="false" customHeight="false" outlineLevel="0" collapsed="false">
      <c r="A80" s="0" t="s">
        <v>33</v>
      </c>
      <c r="B80" s="0" t="s">
        <v>28</v>
      </c>
      <c r="C80" s="0" t="n">
        <v>20</v>
      </c>
      <c r="D80" s="0" t="n">
        <v>0.1</v>
      </c>
      <c r="E80" s="0" t="n">
        <v>24</v>
      </c>
      <c r="F80" s="0" t="s">
        <v>30</v>
      </c>
      <c r="G80" s="8" t="n">
        <f aca="false">'Echo (tests 2, 3E)'!G119</f>
        <v>0.204721119699185</v>
      </c>
      <c r="H80" s="8" t="n">
        <f aca="false">'Echo (tests 2, 3E)'!H119</f>
        <v>0.00901502895600082</v>
      </c>
      <c r="I80" s="8" t="n">
        <f aca="false">'Echo (tests 2, 3E)'!G120</f>
        <v>0.0264644351464435</v>
      </c>
      <c r="J80" s="8" t="n">
        <f aca="false">'Echo (tests 2, 3E)'!H120</f>
        <v>0.00584875737400019</v>
      </c>
      <c r="K80" s="9" t="n">
        <f aca="false">G80-I80</f>
        <v>0.178256684552742</v>
      </c>
      <c r="L80" s="9" t="n">
        <f aca="false">SQRT(H80^2+J80^2)</f>
        <v>0.0107461020792404</v>
      </c>
      <c r="M80" s="5" t="n">
        <f aca="false">K80/L80</f>
        <v>16.5880319429594</v>
      </c>
      <c r="N80" s="0" t="str">
        <f aca="false">IF(OR(G80&gt;2*H80,I80&gt;2*J80),"yes","no")</f>
        <v>yes</v>
      </c>
      <c r="O80" s="0" t="str">
        <f aca="false">IF(N80="no","NOT JUDGED",IF(K80&gt;2*L80,"WIN",IF(K80&lt;-2*L80,"LOSS","TIE")))</f>
        <v>WIN</v>
      </c>
    </row>
    <row r="81" customFormat="false" ht="15" hidden="false" customHeight="false" outlineLevel="0" collapsed="false">
      <c r="A81" s="0" t="s">
        <v>33</v>
      </c>
      <c r="B81" s="0" t="s">
        <v>28</v>
      </c>
      <c r="C81" s="0" t="n">
        <v>20</v>
      </c>
      <c r="D81" s="0" t="n">
        <v>0.1</v>
      </c>
      <c r="E81" s="0" t="n">
        <v>24</v>
      </c>
      <c r="F81" s="0" t="s">
        <v>31</v>
      </c>
      <c r="G81" s="8" t="n">
        <f aca="false">'Echo (tests 2, 3E)'!G119</f>
        <v>0.204721119699185</v>
      </c>
      <c r="H81" s="8" t="n">
        <f aca="false">'Echo (tests 2, 3E)'!H119</f>
        <v>0.00901502895600082</v>
      </c>
      <c r="I81" s="8" t="n">
        <f aca="false">'Echo (tests 2, 3E)'!G121</f>
        <v>0.0250182045147197</v>
      </c>
      <c r="J81" s="8" t="n">
        <f aca="false">'Echo (tests 2, 3E)'!H121</f>
        <v>0.00629900503666902</v>
      </c>
      <c r="K81" s="9" t="n">
        <f aca="false">G81-I81</f>
        <v>0.179702915184466</v>
      </c>
      <c r="L81" s="9" t="n">
        <f aca="false">SQRT(H81^2+J81^2)</f>
        <v>0.0109976457266778</v>
      </c>
      <c r="M81" s="5" t="n">
        <f aca="false">K81/L81</f>
        <v>16.3401258460751</v>
      </c>
      <c r="N81" s="0" t="str">
        <f aca="false">IF(OR(G81&gt;2*H81,I81&gt;2*J81),"yes","no")</f>
        <v>yes</v>
      </c>
      <c r="O81" s="0" t="str">
        <f aca="false">IF(N81="no","NOT JUDGED",IF(K81&gt;2*L81,"WIN",IF(K81&lt;-2*L81,"LOSS","TIE")))</f>
        <v>WIN</v>
      </c>
    </row>
    <row r="82" customFormat="false" ht="15" hidden="false" customHeight="false" outlineLevel="0" collapsed="false">
      <c r="A82" s="0" t="s">
        <v>33</v>
      </c>
      <c r="B82" s="0" t="s">
        <v>28</v>
      </c>
      <c r="C82" s="0" t="n">
        <v>20</v>
      </c>
      <c r="D82" s="0" t="n">
        <v>0.1</v>
      </c>
      <c r="E82" s="0" t="n">
        <v>50</v>
      </c>
      <c r="F82" s="0" t="s">
        <v>30</v>
      </c>
      <c r="G82" s="8" t="n">
        <f aca="false">'Echo (tests 2, 3E)'!G122</f>
        <v>0.0247185126996596</v>
      </c>
      <c r="H82" s="8" t="n">
        <f aca="false">'Echo (tests 2, 3E)'!H122</f>
        <v>0.00671537240155798</v>
      </c>
      <c r="I82" s="8" t="n">
        <f aca="false">'Echo (tests 2, 3E)'!G123</f>
        <v>-0.00371805613741098</v>
      </c>
      <c r="J82" s="8" t="n">
        <f aca="false">'Echo (tests 2, 3E)'!H123</f>
        <v>0.0054852780398623</v>
      </c>
      <c r="K82" s="9" t="n">
        <f aca="false">G82-I82</f>
        <v>0.0284365688370706</v>
      </c>
      <c r="L82" s="9" t="n">
        <f aca="false">SQRT(H82^2+J82^2)</f>
        <v>0.00867089970338731</v>
      </c>
      <c r="M82" s="5" t="n">
        <f aca="false">K82/L82</f>
        <v>3.27954074084858</v>
      </c>
      <c r="N82" s="0" t="str">
        <f aca="false">IF(OR(G82&gt;2*H82,I82&gt;2*J82),"yes","no")</f>
        <v>yes</v>
      </c>
      <c r="O82" s="0" t="str">
        <f aca="false">IF(N82="no","NOT JUDGED",IF(K82&gt;2*L82,"WIN",IF(K82&lt;-2*L82,"LOSS","TIE")))</f>
        <v>WIN</v>
      </c>
    </row>
    <row r="83" customFormat="false" ht="15" hidden="false" customHeight="false" outlineLevel="0" collapsed="false">
      <c r="A83" s="0" t="s">
        <v>33</v>
      </c>
      <c r="B83" s="0" t="s">
        <v>28</v>
      </c>
      <c r="C83" s="0" t="n">
        <v>20</v>
      </c>
      <c r="D83" s="0" t="n">
        <v>0.1</v>
      </c>
      <c r="E83" s="0" t="n">
        <v>50</v>
      </c>
      <c r="F83" s="0" t="s">
        <v>31</v>
      </c>
      <c r="G83" s="8" t="n">
        <f aca="false">'Echo (tests 2, 3E)'!G122</f>
        <v>0.0247185126996596</v>
      </c>
      <c r="H83" s="8" t="n">
        <f aca="false">'Echo (tests 2, 3E)'!H122</f>
        <v>0.00671537240155798</v>
      </c>
      <c r="I83" s="8" t="n">
        <f aca="false">'Echo (tests 2, 3E)'!G124</f>
        <v>0.00441948733946862</v>
      </c>
      <c r="J83" s="8" t="n">
        <f aca="false">'Echo (tests 2, 3E)'!H124</f>
        <v>0.00548932461881179</v>
      </c>
      <c r="K83" s="9" t="n">
        <f aca="false">G83-I83</f>
        <v>0.020299025360191</v>
      </c>
      <c r="L83" s="9" t="n">
        <f aca="false">SQRT(H83^2+J83^2)</f>
        <v>0.00867346016664052</v>
      </c>
      <c r="M83" s="5" t="n">
        <f aca="false">K83/L83</f>
        <v>2.3403607061302</v>
      </c>
      <c r="N83" s="0" t="str">
        <f aca="false">IF(OR(G83&gt;2*H83,I83&gt;2*J83),"yes","no")</f>
        <v>yes</v>
      </c>
      <c r="O83" s="0" t="str">
        <f aca="false">IF(N83="no","NOT JUDGED",IF(K83&gt;2*L83,"WIN",IF(K83&lt;-2*L83,"LOSS","TIE")))</f>
        <v>WIN</v>
      </c>
    </row>
    <row r="84" customFormat="false" ht="15" hidden="false" customHeight="false" outlineLevel="0" collapsed="false">
      <c r="A84" s="0" t="s">
        <v>33</v>
      </c>
      <c r="B84" s="0" t="s">
        <v>28</v>
      </c>
      <c r="C84" s="0" t="n">
        <v>20</v>
      </c>
      <c r="D84" s="0" t="n">
        <v>0.1</v>
      </c>
      <c r="E84" s="0" t="n">
        <v>100</v>
      </c>
      <c r="F84" s="0" t="s">
        <v>30</v>
      </c>
      <c r="G84" s="8" t="n">
        <f aca="false">'Echo (tests 2, 3E)'!G125</f>
        <v>-0.00109672028410278</v>
      </c>
      <c r="H84" s="8" t="n">
        <f aca="false">'Echo (tests 2, 3E)'!H125</f>
        <v>0.00556023467908202</v>
      </c>
      <c r="I84" s="8" t="n">
        <f aca="false">'Echo (tests 2, 3E)'!G126</f>
        <v>-0.00417929161007209</v>
      </c>
      <c r="J84" s="8" t="n">
        <f aca="false">'Echo (tests 2, 3E)'!H126</f>
        <v>0.00528270407603303</v>
      </c>
      <c r="K84" s="9" t="n">
        <f aca="false">G84-I84</f>
        <v>0.00308257132596931</v>
      </c>
      <c r="L84" s="9" t="n">
        <f aca="false">SQRT(H84^2+J84^2)</f>
        <v>0.00766962659074106</v>
      </c>
      <c r="M84" s="5" t="n">
        <f aca="false">K84/L84</f>
        <v>0.401919348940751</v>
      </c>
      <c r="N84" s="0" t="str">
        <f aca="false">IF(OR(G84&gt;2*H84,I84&gt;2*J84),"yes","no")</f>
        <v>no</v>
      </c>
      <c r="O84" s="0" t="str">
        <f aca="false">IF(N84="no","NOT JUDGED",IF(K84&gt;2*L84,"WIN",IF(K84&lt;-2*L84,"LOSS","TIE")))</f>
        <v>NOT JUDGED</v>
      </c>
    </row>
    <row r="85" customFormat="false" ht="15" hidden="false" customHeight="false" outlineLevel="0" collapsed="false">
      <c r="A85" s="0" t="s">
        <v>33</v>
      </c>
      <c r="B85" s="0" t="s">
        <v>28</v>
      </c>
      <c r="C85" s="0" t="n">
        <v>20</v>
      </c>
      <c r="D85" s="0" t="n">
        <v>0.1</v>
      </c>
      <c r="E85" s="0" t="n">
        <v>100</v>
      </c>
      <c r="F85" s="0" t="s">
        <v>31</v>
      </c>
      <c r="G85" s="8" t="n">
        <f aca="false">'Echo (tests 2, 3E)'!G125</f>
        <v>-0.00109672028410278</v>
      </c>
      <c r="H85" s="8" t="n">
        <f aca="false">'Echo (tests 2, 3E)'!H125</f>
        <v>0.00556023467908202</v>
      </c>
      <c r="I85" s="8" t="n">
        <f aca="false">'Echo (tests 2, 3E)'!G127</f>
        <v>-0.00280723643169058</v>
      </c>
      <c r="J85" s="8" t="n">
        <f aca="false">'Echo (tests 2, 3E)'!H127</f>
        <v>0.00521400206750453</v>
      </c>
      <c r="K85" s="9" t="n">
        <f aca="false">G85-I85</f>
        <v>0.0017105161475878</v>
      </c>
      <c r="L85" s="9" t="n">
        <f aca="false">SQRT(H85^2+J85^2)</f>
        <v>0.00762246857956186</v>
      </c>
      <c r="M85" s="5" t="n">
        <f aca="false">K85/L85</f>
        <v>0.224404486516902</v>
      </c>
      <c r="N85" s="0" t="str">
        <f aca="false">IF(OR(G85&gt;2*H85,I85&gt;2*J85),"yes","no")</f>
        <v>no</v>
      </c>
      <c r="O85" s="0" t="str">
        <f aca="false">IF(N85="no","NOT JUDGED",IF(K85&gt;2*L85,"WIN",IF(K85&lt;-2*L85,"LOSS","TIE")))</f>
        <v>NOT JUDGED</v>
      </c>
    </row>
    <row r="86" customFormat="false" ht="15" hidden="false" customHeight="false" outlineLevel="0" collapsed="false">
      <c r="A86" s="0" t="s">
        <v>33</v>
      </c>
      <c r="B86" s="0" t="s">
        <v>28</v>
      </c>
      <c r="C86" s="0" t="n">
        <v>20</v>
      </c>
      <c r="D86" s="0" t="n">
        <v>0.3</v>
      </c>
      <c r="E86" s="0" t="n">
        <v>24</v>
      </c>
      <c r="F86" s="0" t="s">
        <v>30</v>
      </c>
      <c r="G86" s="8" t="n">
        <f aca="false">'Echo (tests 2, 3E)'!G128</f>
        <v>0.210368578789631</v>
      </c>
      <c r="H86" s="8" t="n">
        <f aca="false">'Echo (tests 2, 3E)'!H128</f>
        <v>0.00852019107687724</v>
      </c>
      <c r="I86" s="8" t="n">
        <f aca="false">'Echo (tests 2, 3E)'!G129</f>
        <v>0.0260504201680672</v>
      </c>
      <c r="J86" s="8" t="n">
        <f aca="false">'Echo (tests 2, 3E)'!H129</f>
        <v>0.00587305152809545</v>
      </c>
      <c r="K86" s="9" t="n">
        <f aca="false">G86-I86</f>
        <v>0.184318158621564</v>
      </c>
      <c r="L86" s="9" t="n">
        <f aca="false">SQRT(H86^2+J86^2)</f>
        <v>0.0103482554200292</v>
      </c>
      <c r="M86" s="5" t="n">
        <f aca="false">K86/L86</f>
        <v>17.8115200234442</v>
      </c>
      <c r="N86" s="0" t="str">
        <f aca="false">IF(OR(G86&gt;2*H86,I86&gt;2*J86),"yes","no")</f>
        <v>yes</v>
      </c>
      <c r="O86" s="0" t="str">
        <f aca="false">IF(N86="no","NOT JUDGED",IF(K86&gt;2*L86,"WIN",IF(K86&lt;-2*L86,"LOSS","TIE")))</f>
        <v>WIN</v>
      </c>
    </row>
    <row r="87" customFormat="false" ht="15" hidden="false" customHeight="false" outlineLevel="0" collapsed="false">
      <c r="A87" s="0" t="s">
        <v>33</v>
      </c>
      <c r="B87" s="0" t="s">
        <v>28</v>
      </c>
      <c r="C87" s="0" t="n">
        <v>20</v>
      </c>
      <c r="D87" s="0" t="n">
        <v>0.3</v>
      </c>
      <c r="E87" s="0" t="n">
        <v>24</v>
      </c>
      <c r="F87" s="0" t="s">
        <v>31</v>
      </c>
      <c r="G87" s="8" t="n">
        <f aca="false">'Echo (tests 2, 3E)'!G128</f>
        <v>0.210368578789631</v>
      </c>
      <c r="H87" s="8" t="n">
        <f aca="false">'Echo (tests 2, 3E)'!H128</f>
        <v>0.00852019107687724</v>
      </c>
      <c r="I87" s="8" t="n">
        <f aca="false">'Echo (tests 2, 3E)'!G130</f>
        <v>0.0233814818663618</v>
      </c>
      <c r="J87" s="8" t="n">
        <f aca="false">'Echo (tests 2, 3E)'!H130</f>
        <v>0.00570224547736063</v>
      </c>
      <c r="K87" s="9" t="n">
        <f aca="false">G87-I87</f>
        <v>0.18698709692327</v>
      </c>
      <c r="L87" s="9" t="n">
        <f aca="false">SQRT(H87^2+J87^2)</f>
        <v>0.010252280696049</v>
      </c>
      <c r="M87" s="5" t="n">
        <f aca="false">K87/L87</f>
        <v>18.2385853905981</v>
      </c>
      <c r="N87" s="0" t="str">
        <f aca="false">IF(OR(G87&gt;2*H87,I87&gt;2*J87),"yes","no")</f>
        <v>yes</v>
      </c>
      <c r="O87" s="0" t="str">
        <f aca="false">IF(N87="no","NOT JUDGED",IF(K87&gt;2*L87,"WIN",IF(K87&lt;-2*L87,"LOSS","TIE")))</f>
        <v>WIN</v>
      </c>
    </row>
    <row r="88" customFormat="false" ht="15" hidden="false" customHeight="false" outlineLevel="0" collapsed="false">
      <c r="A88" s="0" t="s">
        <v>33</v>
      </c>
      <c r="B88" s="0" t="s">
        <v>28</v>
      </c>
      <c r="C88" s="0" t="n">
        <v>20</v>
      </c>
      <c r="D88" s="0" t="n">
        <v>0.3</v>
      </c>
      <c r="E88" s="0" t="n">
        <v>50</v>
      </c>
      <c r="F88" s="0" t="s">
        <v>30</v>
      </c>
      <c r="G88" s="8" t="n">
        <f aca="false">'Echo (tests 2, 3E)'!G131</f>
        <v>0.0109976433621367</v>
      </c>
      <c r="H88" s="8" t="n">
        <f aca="false">'Echo (tests 2, 3E)'!H131</f>
        <v>0.00563769449663305</v>
      </c>
      <c r="I88" s="8" t="n">
        <f aca="false">'Echo (tests 2, 3E)'!G132</f>
        <v>0.00146550821731393</v>
      </c>
      <c r="J88" s="8" t="n">
        <f aca="false">'Echo (tests 2, 3E)'!H132</f>
        <v>0.00533456282042312</v>
      </c>
      <c r="K88" s="9" t="n">
        <f aca="false">G88-I88</f>
        <v>0.00953213514482276</v>
      </c>
      <c r="L88" s="9" t="n">
        <f aca="false">SQRT(H88^2+J88^2)</f>
        <v>0.00776151787490097</v>
      </c>
      <c r="M88" s="5" t="n">
        <f aca="false">K88/L88</f>
        <v>1.22812770626317</v>
      </c>
      <c r="N88" s="0" t="str">
        <f aca="false">IF(OR(G88&gt;2*H88,I88&gt;2*J88),"yes","no")</f>
        <v>no</v>
      </c>
      <c r="O88" s="0" t="str">
        <f aca="false">IF(N88="no","NOT JUDGED",IF(K88&gt;2*L88,"WIN",IF(K88&lt;-2*L88,"LOSS","TIE")))</f>
        <v>NOT JUDGED</v>
      </c>
    </row>
    <row r="89" customFormat="false" ht="15" hidden="false" customHeight="false" outlineLevel="0" collapsed="false">
      <c r="A89" s="0" t="s">
        <v>33</v>
      </c>
      <c r="B89" s="0" t="s">
        <v>28</v>
      </c>
      <c r="C89" s="0" t="n">
        <v>20</v>
      </c>
      <c r="D89" s="0" t="n">
        <v>0.3</v>
      </c>
      <c r="E89" s="0" t="n">
        <v>50</v>
      </c>
      <c r="F89" s="0" t="s">
        <v>31</v>
      </c>
      <c r="G89" s="8" t="n">
        <f aca="false">'Echo (tests 2, 3E)'!G131</f>
        <v>0.0109976433621367</v>
      </c>
      <c r="H89" s="8" t="n">
        <f aca="false">'Echo (tests 2, 3E)'!H131</f>
        <v>0.00563769449663305</v>
      </c>
      <c r="I89" s="8" t="n">
        <f aca="false">'Echo (tests 2, 3E)'!G133</f>
        <v>0.000931918198291483</v>
      </c>
      <c r="J89" s="8" t="n">
        <f aca="false">'Echo (tests 2, 3E)'!H133</f>
        <v>0.00520935698075619</v>
      </c>
      <c r="K89" s="9" t="n">
        <f aca="false">G89-I89</f>
        <v>0.0100657251638452</v>
      </c>
      <c r="L89" s="9" t="n">
        <f aca="false">SQRT(H89^2+J89^2)</f>
        <v>0.00767600152360067</v>
      </c>
      <c r="M89" s="5" t="n">
        <f aca="false">K89/L89</f>
        <v>1.31132401848763</v>
      </c>
      <c r="N89" s="0" t="str">
        <f aca="false">IF(OR(G89&gt;2*H89,I89&gt;2*J89),"yes","no")</f>
        <v>no</v>
      </c>
      <c r="O89" s="0" t="str">
        <f aca="false">IF(N89="no","NOT JUDGED",IF(K89&gt;2*L89,"WIN",IF(K89&lt;-2*L89,"LOSS","TIE")))</f>
        <v>NOT JUDGED</v>
      </c>
    </row>
    <row r="90" customFormat="false" ht="15" hidden="false" customHeight="false" outlineLevel="0" collapsed="false">
      <c r="A90" s="0" t="s">
        <v>33</v>
      </c>
      <c r="B90" s="0" t="s">
        <v>28</v>
      </c>
      <c r="C90" s="0" t="n">
        <v>20</v>
      </c>
      <c r="D90" s="0" t="n">
        <v>0.3</v>
      </c>
      <c r="E90" s="0" t="n">
        <v>100</v>
      </c>
      <c r="F90" s="0" t="s">
        <v>30</v>
      </c>
      <c r="G90" s="8" t="n">
        <f aca="false">'Echo (tests 2, 3E)'!G134</f>
        <v>0.00872335979941496</v>
      </c>
      <c r="H90" s="8" t="n">
        <f aca="false">'Echo (tests 2, 3E)'!H134</f>
        <v>0.00527534746789319</v>
      </c>
      <c r="I90" s="8" t="n">
        <f aca="false">'Echo (tests 2, 3E)'!G135</f>
        <v>-0.0101982113906177</v>
      </c>
      <c r="J90" s="8" t="n">
        <f aca="false">'Echo (tests 2, 3E)'!H135</f>
        <v>0.00526445599657582</v>
      </c>
      <c r="K90" s="9" t="n">
        <f aca="false">G90-I90</f>
        <v>0.0189215711900326</v>
      </c>
      <c r="L90" s="9" t="n">
        <f aca="false">SQRT(H90^2+J90^2)</f>
        <v>0.00745277048129689</v>
      </c>
      <c r="M90" s="5" t="n">
        <f aca="false">K90/L90</f>
        <v>2.53886406907569</v>
      </c>
      <c r="N90" s="0" t="str">
        <f aca="false">IF(OR(G90&gt;2*H90,I90&gt;2*J90),"yes","no")</f>
        <v>no</v>
      </c>
      <c r="O90" s="0" t="str">
        <f aca="false">IF(N90="no","NOT JUDGED",IF(K90&gt;2*L90,"WIN",IF(K90&lt;-2*L90,"LOSS","TIE")))</f>
        <v>NOT JUDGED</v>
      </c>
    </row>
    <row r="91" customFormat="false" ht="15" hidden="false" customHeight="false" outlineLevel="0" collapsed="false">
      <c r="A91" s="0" t="s">
        <v>33</v>
      </c>
      <c r="B91" s="0" t="s">
        <v>28</v>
      </c>
      <c r="C91" s="0" t="n">
        <v>20</v>
      </c>
      <c r="D91" s="0" t="n">
        <v>0.3</v>
      </c>
      <c r="E91" s="0" t="n">
        <v>100</v>
      </c>
      <c r="F91" s="0" t="s">
        <v>31</v>
      </c>
      <c r="G91" s="8" t="n">
        <f aca="false">'Echo (tests 2, 3E)'!G134</f>
        <v>0.00872335979941496</v>
      </c>
      <c r="H91" s="8" t="n">
        <f aca="false">'Echo (tests 2, 3E)'!H134</f>
        <v>0.00527534746789319</v>
      </c>
      <c r="I91" s="8" t="n">
        <f aca="false">'Echo (tests 2, 3E)'!G136</f>
        <v>0.00135374362178486</v>
      </c>
      <c r="J91" s="8" t="n">
        <f aca="false">'Echo (tests 2, 3E)'!H136</f>
        <v>0.00532828030260461</v>
      </c>
      <c r="K91" s="9" t="n">
        <f aca="false">G91-I91</f>
        <v>0.0073696161776301</v>
      </c>
      <c r="L91" s="9" t="n">
        <f aca="false">SQRT(H91^2+J91^2)</f>
        <v>0.0074979905234757</v>
      </c>
      <c r="M91" s="5" t="n">
        <f aca="false">K91/L91</f>
        <v>0.98287883327624</v>
      </c>
      <c r="N91" s="0" t="str">
        <f aca="false">IF(OR(G91&gt;2*H91,I91&gt;2*J91),"yes","no")</f>
        <v>no</v>
      </c>
      <c r="O91" s="0" t="str">
        <f aca="false">IF(N91="no","NOT JUDGED",IF(K91&gt;2*L91,"WIN",IF(K91&lt;-2*L91,"LOSS","TIE")))</f>
        <v>NOT JUDGED</v>
      </c>
    </row>
    <row r="92" customFormat="false" ht="15" hidden="false" customHeight="false" outlineLevel="0" collapsed="false">
      <c r="A92" s="0" t="s">
        <v>33</v>
      </c>
      <c r="B92" s="0" t="s">
        <v>28</v>
      </c>
      <c r="C92" s="0" t="n">
        <v>36</v>
      </c>
      <c r="D92" s="0" t="n">
        <v>0</v>
      </c>
      <c r="E92" s="0" t="n">
        <v>24</v>
      </c>
      <c r="F92" s="0" t="s">
        <v>30</v>
      </c>
      <c r="G92" s="8" t="n">
        <f aca="false">'Echo (tests 2, 3E)'!G137</f>
        <v>0.228043592283933</v>
      </c>
      <c r="H92" s="8" t="n">
        <f aca="false">'Echo (tests 2, 3E)'!H137</f>
        <v>0.00704207977409122</v>
      </c>
      <c r="I92" s="8" t="n">
        <f aca="false">'Echo (tests 2, 3E)'!G138</f>
        <v>0.026414764278842</v>
      </c>
      <c r="J92" s="8" t="n">
        <f aca="false">'Echo (tests 2, 3E)'!H138</f>
        <v>0.00462180781237686</v>
      </c>
      <c r="K92" s="9" t="n">
        <f aca="false">G92-I92</f>
        <v>0.201628828005091</v>
      </c>
      <c r="L92" s="9" t="n">
        <f aca="false">SQRT(H92^2+J92^2)</f>
        <v>0.00842330071879263</v>
      </c>
      <c r="M92" s="5" t="n">
        <f aca="false">K92/L92</f>
        <v>23.9370330867152</v>
      </c>
      <c r="N92" s="0" t="str">
        <f aca="false">IF(OR(G92&gt;2*H92,I92&gt;2*J92),"yes","no")</f>
        <v>yes</v>
      </c>
      <c r="O92" s="0" t="str">
        <f aca="false">IF(N92="no","NOT JUDGED",IF(K92&gt;2*L92,"WIN",IF(K92&lt;-2*L92,"LOSS","TIE")))</f>
        <v>WIN</v>
      </c>
    </row>
    <row r="93" customFormat="false" ht="15" hidden="false" customHeight="false" outlineLevel="0" collapsed="false">
      <c r="A93" s="0" t="s">
        <v>33</v>
      </c>
      <c r="B93" s="0" t="s">
        <v>28</v>
      </c>
      <c r="C93" s="0" t="n">
        <v>36</v>
      </c>
      <c r="D93" s="0" t="n">
        <v>0</v>
      </c>
      <c r="E93" s="0" t="n">
        <v>24</v>
      </c>
      <c r="F93" s="0" t="s">
        <v>31</v>
      </c>
      <c r="G93" s="8" t="n">
        <f aca="false">'Echo (tests 2, 3E)'!G137</f>
        <v>0.228043592283933</v>
      </c>
      <c r="H93" s="8" t="n">
        <f aca="false">'Echo (tests 2, 3E)'!H137</f>
        <v>0.00704207977409122</v>
      </c>
      <c r="I93" s="8" t="n">
        <f aca="false">'Echo (tests 2, 3E)'!G139</f>
        <v>0.004611636405824</v>
      </c>
      <c r="J93" s="8" t="n">
        <f aca="false">'Echo (tests 2, 3E)'!H139</f>
        <v>0.00414140946197112</v>
      </c>
      <c r="K93" s="9" t="n">
        <f aca="false">G93-I93</f>
        <v>0.223431955878109</v>
      </c>
      <c r="L93" s="9" t="n">
        <f aca="false">SQRT(H93^2+J93^2)</f>
        <v>0.00816958749732008</v>
      </c>
      <c r="M93" s="5" t="n">
        <f aca="false">K93/L93</f>
        <v>27.3492334773821</v>
      </c>
      <c r="N93" s="0" t="str">
        <f aca="false">IF(OR(G93&gt;2*H93,I93&gt;2*J93),"yes","no")</f>
        <v>yes</v>
      </c>
      <c r="O93" s="0" t="str">
        <f aca="false">IF(N93="no","NOT JUDGED",IF(K93&gt;2*L93,"WIN",IF(K93&lt;-2*L93,"LOSS","TIE")))</f>
        <v>WIN</v>
      </c>
    </row>
    <row r="94" customFormat="false" ht="15" hidden="false" customHeight="false" outlineLevel="0" collapsed="false">
      <c r="A94" s="0" t="s">
        <v>33</v>
      </c>
      <c r="B94" s="0" t="s">
        <v>28</v>
      </c>
      <c r="C94" s="0" t="n">
        <v>36</v>
      </c>
      <c r="D94" s="0" t="n">
        <v>0</v>
      </c>
      <c r="E94" s="0" t="n">
        <v>50</v>
      </c>
      <c r="F94" s="0" t="s">
        <v>30</v>
      </c>
      <c r="G94" s="8" t="n">
        <f aca="false">'Echo (tests 2, 3E)'!G140</f>
        <v>-0.00323775632237552</v>
      </c>
      <c r="H94" s="8" t="n">
        <f aca="false">'Echo (tests 2, 3E)'!H140</f>
        <v>0.00484162874412886</v>
      </c>
      <c r="I94" s="8" t="n">
        <f aca="false">'Echo (tests 2, 3E)'!G141</f>
        <v>-0.00212759756346361</v>
      </c>
      <c r="J94" s="8" t="n">
        <f aca="false">'Echo (tests 2, 3E)'!H141</f>
        <v>0.00402937168567896</v>
      </c>
      <c r="K94" s="9" t="n">
        <f aca="false">G94-I94</f>
        <v>-0.00111015875891191</v>
      </c>
      <c r="L94" s="9" t="n">
        <f aca="false">SQRT(H94^2+J94^2)</f>
        <v>0.00629898444809368</v>
      </c>
      <c r="M94" s="5" t="n">
        <f aca="false">K94/L94</f>
        <v>-0.176244086338058</v>
      </c>
      <c r="N94" s="0" t="str">
        <f aca="false">IF(OR(G94&gt;2*H94,I94&gt;2*J94),"yes","no")</f>
        <v>no</v>
      </c>
      <c r="O94" s="0" t="str">
        <f aca="false">IF(N94="no","NOT JUDGED",IF(K94&gt;2*L94,"WIN",IF(K94&lt;-2*L94,"LOSS","TIE")))</f>
        <v>NOT JUDGED</v>
      </c>
    </row>
    <row r="95" customFormat="false" ht="15" hidden="false" customHeight="false" outlineLevel="0" collapsed="false">
      <c r="A95" s="0" t="s">
        <v>33</v>
      </c>
      <c r="B95" s="0" t="s">
        <v>28</v>
      </c>
      <c r="C95" s="0" t="n">
        <v>36</v>
      </c>
      <c r="D95" s="0" t="n">
        <v>0</v>
      </c>
      <c r="E95" s="0" t="n">
        <v>50</v>
      </c>
      <c r="F95" s="0" t="s">
        <v>31</v>
      </c>
      <c r="G95" s="8" t="n">
        <f aca="false">'Echo (tests 2, 3E)'!G140</f>
        <v>-0.00323775632237552</v>
      </c>
      <c r="H95" s="8" t="n">
        <f aca="false">'Echo (tests 2, 3E)'!H140</f>
        <v>0.00484162874412886</v>
      </c>
      <c r="I95" s="8" t="n">
        <f aca="false">'Echo (tests 2, 3E)'!G142</f>
        <v>0.00176934679197123</v>
      </c>
      <c r="J95" s="8" t="n">
        <f aca="false">'Echo (tests 2, 3E)'!H142</f>
        <v>0.00391476075476644</v>
      </c>
      <c r="K95" s="9" t="n">
        <f aca="false">G95-I95</f>
        <v>-0.00500710311434675</v>
      </c>
      <c r="L95" s="9" t="n">
        <f aca="false">SQRT(H95^2+J95^2)</f>
        <v>0.0062262926901194</v>
      </c>
      <c r="M95" s="5" t="n">
        <f aca="false">K95/L95</f>
        <v>-0.804186915641244</v>
      </c>
      <c r="N95" s="0" t="str">
        <f aca="false">IF(OR(G95&gt;2*H95,I95&gt;2*J95),"yes","no")</f>
        <v>no</v>
      </c>
      <c r="O95" s="0" t="str">
        <f aca="false">IF(N95="no","NOT JUDGED",IF(K95&gt;2*L95,"WIN",IF(K95&lt;-2*L95,"LOSS","TIE")))</f>
        <v>NOT JUDGED</v>
      </c>
    </row>
    <row r="96" customFormat="false" ht="15" hidden="false" customHeight="false" outlineLevel="0" collapsed="false">
      <c r="A96" s="0" t="s">
        <v>33</v>
      </c>
      <c r="B96" s="0" t="s">
        <v>28</v>
      </c>
      <c r="C96" s="0" t="n">
        <v>36</v>
      </c>
      <c r="D96" s="0" t="n">
        <v>0</v>
      </c>
      <c r="E96" s="0" t="n">
        <v>100</v>
      </c>
      <c r="F96" s="0" t="s">
        <v>30</v>
      </c>
      <c r="G96" s="8" t="n">
        <f aca="false">'Echo (tests 2, 3E)'!G143</f>
        <v>0.00137274373503125</v>
      </c>
      <c r="H96" s="8" t="n">
        <f aca="false">'Echo (tests 2, 3E)'!H143</f>
        <v>0.00414083662694754</v>
      </c>
      <c r="I96" s="8" t="n">
        <f aca="false">'Echo (tests 2, 3E)'!G144</f>
        <v>-0.00447800509263324</v>
      </c>
      <c r="J96" s="8" t="n">
        <f aca="false">'Echo (tests 2, 3E)'!H144</f>
        <v>0.00389747304382807</v>
      </c>
      <c r="K96" s="9" t="n">
        <f aca="false">G96-I96</f>
        <v>0.00585074882766449</v>
      </c>
      <c r="L96" s="9" t="n">
        <f aca="false">SQRT(H96^2+J96^2)</f>
        <v>0.00568654764320468</v>
      </c>
      <c r="M96" s="5" t="n">
        <f aca="false">K96/L96</f>
        <v>1.02887537303166</v>
      </c>
      <c r="N96" s="0" t="str">
        <f aca="false">IF(OR(G96&gt;2*H96,I96&gt;2*J96),"yes","no")</f>
        <v>no</v>
      </c>
      <c r="O96" s="0" t="str">
        <f aca="false">IF(N96="no","NOT JUDGED",IF(K96&gt;2*L96,"WIN",IF(K96&lt;-2*L96,"LOSS","TIE")))</f>
        <v>NOT JUDGED</v>
      </c>
    </row>
    <row r="97" customFormat="false" ht="15" hidden="false" customHeight="false" outlineLevel="0" collapsed="false">
      <c r="A97" s="0" t="s">
        <v>33</v>
      </c>
      <c r="B97" s="0" t="s">
        <v>28</v>
      </c>
      <c r="C97" s="0" t="n">
        <v>36</v>
      </c>
      <c r="D97" s="0" t="n">
        <v>0</v>
      </c>
      <c r="E97" s="0" t="n">
        <v>100</v>
      </c>
      <c r="F97" s="0" t="s">
        <v>31</v>
      </c>
      <c r="G97" s="8" t="n">
        <f aca="false">'Echo (tests 2, 3E)'!G143</f>
        <v>0.00137274373503125</v>
      </c>
      <c r="H97" s="8" t="n">
        <f aca="false">'Echo (tests 2, 3E)'!H143</f>
        <v>0.00414083662694754</v>
      </c>
      <c r="I97" s="8" t="n">
        <f aca="false">'Echo (tests 2, 3E)'!G145</f>
        <v>-0.000899280575539569</v>
      </c>
      <c r="J97" s="8" t="n">
        <f aca="false">'Echo (tests 2, 3E)'!H145</f>
        <v>0.0039358964855304</v>
      </c>
      <c r="K97" s="9" t="n">
        <f aca="false">G97-I97</f>
        <v>0.00227202431057082</v>
      </c>
      <c r="L97" s="9" t="n">
        <f aca="false">SQRT(H97^2+J97^2)</f>
        <v>0.00571295099890423</v>
      </c>
      <c r="M97" s="5" t="n">
        <f aca="false">K97/L97</f>
        <v>0.397697146537158</v>
      </c>
      <c r="N97" s="0" t="str">
        <f aca="false">IF(OR(G97&gt;2*H97,I97&gt;2*J97),"yes","no")</f>
        <v>no</v>
      </c>
      <c r="O97" s="0" t="str">
        <f aca="false">IF(N97="no","NOT JUDGED",IF(K97&gt;2*L97,"WIN",IF(K97&lt;-2*L97,"LOSS","TIE")))</f>
        <v>NOT JUDGED</v>
      </c>
    </row>
    <row r="98" customFormat="false" ht="15" hidden="false" customHeight="false" outlineLevel="0" collapsed="false">
      <c r="A98" s="0" t="s">
        <v>33</v>
      </c>
      <c r="B98" s="0" t="s">
        <v>28</v>
      </c>
      <c r="C98" s="0" t="n">
        <v>36</v>
      </c>
      <c r="D98" s="0" t="n">
        <v>0.1</v>
      </c>
      <c r="E98" s="0" t="n">
        <v>24</v>
      </c>
      <c r="F98" s="0" t="s">
        <v>30</v>
      </c>
      <c r="G98" s="8" t="n">
        <f aca="false">'Echo (tests 2, 3E)'!G146</f>
        <v>0.234407848633497</v>
      </c>
      <c r="H98" s="8" t="n">
        <f aca="false">'Echo (tests 2, 3E)'!H146</f>
        <v>0.00684465857469269</v>
      </c>
      <c r="I98" s="8" t="n">
        <f aca="false">'Echo (tests 2, 3E)'!G147</f>
        <v>0.0241048034934498</v>
      </c>
      <c r="J98" s="8" t="n">
        <f aca="false">'Echo (tests 2, 3E)'!H147</f>
        <v>0.00444806007066423</v>
      </c>
      <c r="K98" s="9" t="n">
        <f aca="false">G98-I98</f>
        <v>0.210303045140047</v>
      </c>
      <c r="L98" s="9" t="n">
        <f aca="false">SQRT(H98^2+J98^2)</f>
        <v>0.00816300124931705</v>
      </c>
      <c r="M98" s="5" t="n">
        <f aca="false">K98/L98</f>
        <v>25.7629563829409</v>
      </c>
      <c r="N98" s="0" t="str">
        <f aca="false">IF(OR(G98&gt;2*H98,I98&gt;2*J98),"yes","no")</f>
        <v>yes</v>
      </c>
      <c r="O98" s="0" t="str">
        <f aca="false">IF(N98="no","NOT JUDGED",IF(K98&gt;2*L98,"WIN",IF(K98&lt;-2*L98,"LOSS","TIE")))</f>
        <v>WIN</v>
      </c>
    </row>
    <row r="99" customFormat="false" ht="15" hidden="false" customHeight="false" outlineLevel="0" collapsed="false">
      <c r="A99" s="0" t="s">
        <v>33</v>
      </c>
      <c r="B99" s="0" t="s">
        <v>28</v>
      </c>
      <c r="C99" s="0" t="n">
        <v>36</v>
      </c>
      <c r="D99" s="0" t="n">
        <v>0.1</v>
      </c>
      <c r="E99" s="0" t="n">
        <v>24</v>
      </c>
      <c r="F99" s="0" t="s">
        <v>31</v>
      </c>
      <c r="G99" s="8" t="n">
        <f aca="false">'Echo (tests 2, 3E)'!G146</f>
        <v>0.234407848633497</v>
      </c>
      <c r="H99" s="8" t="n">
        <f aca="false">'Echo (tests 2, 3E)'!H146</f>
        <v>0.00684465857469269</v>
      </c>
      <c r="I99" s="8" t="n">
        <f aca="false">'Echo (tests 2, 3E)'!G148</f>
        <v>0.0099113197704747</v>
      </c>
      <c r="J99" s="8" t="n">
        <f aca="false">'Echo (tests 2, 3E)'!H148</f>
        <v>0.00407224558541901</v>
      </c>
      <c r="K99" s="9" t="n">
        <f aca="false">G99-I99</f>
        <v>0.224496528863022</v>
      </c>
      <c r="L99" s="9" t="n">
        <f aca="false">SQRT(H99^2+J99^2)</f>
        <v>0.00796445447674094</v>
      </c>
      <c r="M99" s="5" t="n">
        <f aca="false">K99/L99</f>
        <v>28.1873076829847</v>
      </c>
      <c r="N99" s="0" t="str">
        <f aca="false">IF(OR(G99&gt;2*H99,I99&gt;2*J99),"yes","no")</f>
        <v>yes</v>
      </c>
      <c r="O99" s="0" t="str">
        <f aca="false">IF(N99="no","NOT JUDGED",IF(K99&gt;2*L99,"WIN",IF(K99&lt;-2*L99,"LOSS","TIE")))</f>
        <v>WIN</v>
      </c>
    </row>
    <row r="100" customFormat="false" ht="15" hidden="false" customHeight="false" outlineLevel="0" collapsed="false">
      <c r="A100" s="0" t="s">
        <v>33</v>
      </c>
      <c r="B100" s="0" t="s">
        <v>28</v>
      </c>
      <c r="C100" s="0" t="n">
        <v>36</v>
      </c>
      <c r="D100" s="0" t="n">
        <v>0.1</v>
      </c>
      <c r="E100" s="0" t="n">
        <v>50</v>
      </c>
      <c r="F100" s="0" t="s">
        <v>30</v>
      </c>
      <c r="G100" s="8" t="n">
        <f aca="false">'Echo (tests 2, 3E)'!G149</f>
        <v>0.00934171468482626</v>
      </c>
      <c r="H100" s="8" t="n">
        <f aca="false">'Echo (tests 2, 3E)'!H149</f>
        <v>0.00465534047821194</v>
      </c>
      <c r="I100" s="8" t="n">
        <f aca="false">'Echo (tests 2, 3E)'!G150</f>
        <v>-0.00114065104852154</v>
      </c>
      <c r="J100" s="8" t="n">
        <f aca="false">'Echo (tests 2, 3E)'!H150</f>
        <v>0.00400588257601842</v>
      </c>
      <c r="K100" s="9" t="n">
        <f aca="false">G100-I100</f>
        <v>0.0104823657333478</v>
      </c>
      <c r="L100" s="9" t="n">
        <f aca="false">SQRT(H100^2+J100^2)</f>
        <v>0.00614160322561842</v>
      </c>
      <c r="M100" s="5" t="n">
        <f aca="false">K100/L100</f>
        <v>1.70678002929639</v>
      </c>
      <c r="N100" s="0" t="str">
        <f aca="false">IF(OR(G100&gt;2*H100,I100&gt;2*J100),"yes","no")</f>
        <v>yes</v>
      </c>
      <c r="O100" s="0" t="str">
        <f aca="false">IF(N100="no","NOT JUDGED",IF(K100&gt;2*L100,"WIN",IF(K100&lt;-2*L100,"LOSS","TIE")))</f>
        <v>TIE</v>
      </c>
    </row>
    <row r="101" customFormat="false" ht="15" hidden="false" customHeight="false" outlineLevel="0" collapsed="false">
      <c r="A101" s="0" t="s">
        <v>33</v>
      </c>
      <c r="B101" s="0" t="s">
        <v>28</v>
      </c>
      <c r="C101" s="0" t="n">
        <v>36</v>
      </c>
      <c r="D101" s="0" t="n">
        <v>0.1</v>
      </c>
      <c r="E101" s="0" t="n">
        <v>50</v>
      </c>
      <c r="F101" s="0" t="s">
        <v>31</v>
      </c>
      <c r="G101" s="8" t="n">
        <f aca="false">'Echo (tests 2, 3E)'!G149</f>
        <v>0.00934171468482626</v>
      </c>
      <c r="H101" s="8" t="n">
        <f aca="false">'Echo (tests 2, 3E)'!H149</f>
        <v>0.00465534047821194</v>
      </c>
      <c r="I101" s="8" t="n">
        <f aca="false">'Echo (tests 2, 3E)'!G151</f>
        <v>0.00382032877981014</v>
      </c>
      <c r="J101" s="8" t="n">
        <f aca="false">'Echo (tests 2, 3E)'!H151</f>
        <v>0.00393508244134924</v>
      </c>
      <c r="K101" s="9" t="n">
        <f aca="false">G101-I101</f>
        <v>0.00552138590501612</v>
      </c>
      <c r="L101" s="9" t="n">
        <f aca="false">SQRT(H101^2+J101^2)</f>
        <v>0.00609565983206852</v>
      </c>
      <c r="M101" s="5" t="n">
        <f aca="false">K101/L101</f>
        <v>0.905789702366392</v>
      </c>
      <c r="N101" s="0" t="str">
        <f aca="false">IF(OR(G101&gt;2*H101,I101&gt;2*J101),"yes","no")</f>
        <v>yes</v>
      </c>
      <c r="O101" s="0" t="str">
        <f aca="false">IF(N101="no","NOT JUDGED",IF(K101&gt;2*L101,"WIN",IF(K101&lt;-2*L101,"LOSS","TIE")))</f>
        <v>TIE</v>
      </c>
    </row>
    <row r="102" customFormat="false" ht="15" hidden="false" customHeight="false" outlineLevel="0" collapsed="false">
      <c r="A102" s="0" t="s">
        <v>33</v>
      </c>
      <c r="B102" s="0" t="s">
        <v>28</v>
      </c>
      <c r="C102" s="0" t="n">
        <v>36</v>
      </c>
      <c r="D102" s="0" t="n">
        <v>0.1</v>
      </c>
      <c r="E102" s="0" t="n">
        <v>100</v>
      </c>
      <c r="F102" s="0" t="s">
        <v>30</v>
      </c>
      <c r="G102" s="8" t="n">
        <f aca="false">'Echo (tests 2, 3E)'!G152</f>
        <v>0.00628618209461435</v>
      </c>
      <c r="H102" s="8" t="n">
        <f aca="false">'Echo (tests 2, 3E)'!H152</f>
        <v>0.00410083495071736</v>
      </c>
      <c r="I102" s="8" t="n">
        <f aca="false">'Echo (tests 2, 3E)'!G153</f>
        <v>-0.00307386047600925</v>
      </c>
      <c r="J102" s="8" t="n">
        <f aca="false">'Echo (tests 2, 3E)'!H153</f>
        <v>0.00385973615436599</v>
      </c>
      <c r="K102" s="9" t="n">
        <f aca="false">G102-I102</f>
        <v>0.0093600425706236</v>
      </c>
      <c r="L102" s="9" t="n">
        <f aca="false">SQRT(H102^2+J102^2)</f>
        <v>0.00563155488957934</v>
      </c>
      <c r="M102" s="5" t="n">
        <f aca="false">K102/L102</f>
        <v>1.66207073430883</v>
      </c>
      <c r="N102" s="0" t="str">
        <f aca="false">IF(OR(G102&gt;2*H102,I102&gt;2*J102),"yes","no")</f>
        <v>no</v>
      </c>
      <c r="O102" s="0" t="str">
        <f aca="false">IF(N102="no","NOT JUDGED",IF(K102&gt;2*L102,"WIN",IF(K102&lt;-2*L102,"LOSS","TIE")))</f>
        <v>NOT JUDGED</v>
      </c>
    </row>
    <row r="103" customFormat="false" ht="15" hidden="false" customHeight="false" outlineLevel="0" collapsed="false">
      <c r="A103" s="0" t="s">
        <v>33</v>
      </c>
      <c r="B103" s="0" t="s">
        <v>28</v>
      </c>
      <c r="C103" s="0" t="n">
        <v>36</v>
      </c>
      <c r="D103" s="0" t="n">
        <v>0.1</v>
      </c>
      <c r="E103" s="0" t="n">
        <v>100</v>
      </c>
      <c r="F103" s="0" t="s">
        <v>31</v>
      </c>
      <c r="G103" s="8" t="n">
        <f aca="false">'Echo (tests 2, 3E)'!G152</f>
        <v>0.00628618209461435</v>
      </c>
      <c r="H103" s="8" t="n">
        <f aca="false">'Echo (tests 2, 3E)'!H152</f>
        <v>0.00410083495071736</v>
      </c>
      <c r="I103" s="8" t="n">
        <f aca="false">'Echo (tests 2, 3E)'!G154</f>
        <v>0.00899019778435125</v>
      </c>
      <c r="J103" s="8" t="n">
        <f aca="false">'Echo (tests 2, 3E)'!H154</f>
        <v>0.00371069452026323</v>
      </c>
      <c r="K103" s="9" t="n">
        <f aca="false">G103-I103</f>
        <v>-0.0027040156897369</v>
      </c>
      <c r="L103" s="9" t="n">
        <f aca="false">SQRT(H103^2+J103^2)</f>
        <v>0.0055304702436354</v>
      </c>
      <c r="M103" s="5" t="n">
        <f aca="false">K103/L103</f>
        <v>-0.488930519579009</v>
      </c>
      <c r="N103" s="0" t="str">
        <f aca="false">IF(OR(G103&gt;2*H103,I103&gt;2*J103),"yes","no")</f>
        <v>yes</v>
      </c>
      <c r="O103" s="0" t="str">
        <f aca="false">IF(N103="no","NOT JUDGED",IF(K103&gt;2*L103,"WIN",IF(K103&lt;-2*L103,"LOSS","TIE")))</f>
        <v>TIE</v>
      </c>
    </row>
    <row r="104" customFormat="false" ht="15" hidden="false" customHeight="false" outlineLevel="0" collapsed="false">
      <c r="A104" s="0" t="s">
        <v>33</v>
      </c>
      <c r="B104" s="0" t="s">
        <v>28</v>
      </c>
      <c r="C104" s="0" t="n">
        <v>36</v>
      </c>
      <c r="D104" s="0" t="n">
        <v>0.3</v>
      </c>
      <c r="E104" s="0" t="n">
        <v>24</v>
      </c>
      <c r="F104" s="0" t="s">
        <v>30</v>
      </c>
      <c r="G104" s="8" t="n">
        <f aca="false">'Echo (tests 2, 3E)'!G155</f>
        <v>0.252624825011666</v>
      </c>
      <c r="H104" s="8" t="n">
        <f aca="false">'Echo (tests 2, 3E)'!H155</f>
        <v>0.00640339192797951</v>
      </c>
      <c r="I104" s="8" t="n">
        <f aca="false">'Echo (tests 2, 3E)'!G156</f>
        <v>0.0289216401575952</v>
      </c>
      <c r="J104" s="8" t="n">
        <f aca="false">'Echo (tests 2, 3E)'!H156</f>
        <v>0.00415085670687345</v>
      </c>
      <c r="K104" s="9" t="n">
        <f aca="false">G104-I104</f>
        <v>0.223703184854071</v>
      </c>
      <c r="L104" s="9" t="n">
        <f aca="false">SQRT(H104^2+J104^2)</f>
        <v>0.00763105756657028</v>
      </c>
      <c r="M104" s="5" t="n">
        <f aca="false">K104/L104</f>
        <v>29.3148338749346</v>
      </c>
      <c r="N104" s="0" t="str">
        <f aca="false">IF(OR(G104&gt;2*H104,I104&gt;2*J104),"yes","no")</f>
        <v>yes</v>
      </c>
      <c r="O104" s="0" t="str">
        <f aca="false">IF(N104="no","NOT JUDGED",IF(K104&gt;2*L104,"WIN",IF(K104&lt;-2*L104,"LOSS","TIE")))</f>
        <v>WIN</v>
      </c>
    </row>
    <row r="105" customFormat="false" ht="15" hidden="false" customHeight="false" outlineLevel="0" collapsed="false">
      <c r="A105" s="0" t="s">
        <v>33</v>
      </c>
      <c r="B105" s="0" t="s">
        <v>28</v>
      </c>
      <c r="C105" s="0" t="n">
        <v>36</v>
      </c>
      <c r="D105" s="0" t="n">
        <v>0.3</v>
      </c>
      <c r="E105" s="0" t="n">
        <v>24</v>
      </c>
      <c r="F105" s="0" t="s">
        <v>31</v>
      </c>
      <c r="G105" s="8" t="n">
        <f aca="false">'Echo (tests 2, 3E)'!G155</f>
        <v>0.252624825011666</v>
      </c>
      <c r="H105" s="8" t="n">
        <f aca="false">'Echo (tests 2, 3E)'!H155</f>
        <v>0.00640339192797951</v>
      </c>
      <c r="I105" s="8" t="n">
        <f aca="false">'Echo (tests 2, 3E)'!G157</f>
        <v>-0.00191093867624066</v>
      </c>
      <c r="J105" s="8" t="n">
        <f aca="false">'Echo (tests 2, 3E)'!H157</f>
        <v>0.0039902970402878</v>
      </c>
      <c r="K105" s="9" t="n">
        <f aca="false">G105-I105</f>
        <v>0.254535763687907</v>
      </c>
      <c r="L105" s="9" t="n">
        <f aca="false">SQRT(H105^2+J105^2)</f>
        <v>0.00754492535768531</v>
      </c>
      <c r="M105" s="5" t="n">
        <f aca="false">K105/L105</f>
        <v>33.7360214476655</v>
      </c>
      <c r="N105" s="0" t="str">
        <f aca="false">IF(OR(G105&gt;2*H105,I105&gt;2*J105),"yes","no")</f>
        <v>yes</v>
      </c>
      <c r="O105" s="0" t="str">
        <f aca="false">IF(N105="no","NOT JUDGED",IF(K105&gt;2*L105,"WIN",IF(K105&lt;-2*L105,"LOSS","TIE")))</f>
        <v>WIN</v>
      </c>
    </row>
    <row r="106" customFormat="false" ht="15" hidden="false" customHeight="false" outlineLevel="0" collapsed="false">
      <c r="A106" s="0" t="s">
        <v>33</v>
      </c>
      <c r="B106" s="0" t="s">
        <v>28</v>
      </c>
      <c r="C106" s="0" t="n">
        <v>36</v>
      </c>
      <c r="D106" s="0" t="n">
        <v>0.3</v>
      </c>
      <c r="E106" s="0" t="n">
        <v>50</v>
      </c>
      <c r="F106" s="0" t="s">
        <v>30</v>
      </c>
      <c r="G106" s="8" t="n">
        <f aca="false">'Echo (tests 2, 3E)'!G158</f>
        <v>0.00472344519928857</v>
      </c>
      <c r="H106" s="8" t="n">
        <f aca="false">'Echo (tests 2, 3E)'!H158</f>
        <v>0.00422238655649472</v>
      </c>
      <c r="I106" s="8" t="n">
        <f aca="false">'Echo (tests 2, 3E)'!G159</f>
        <v>-0.004166302479387</v>
      </c>
      <c r="J106" s="8" t="n">
        <f aca="false">'Echo (tests 2, 3E)'!H159</f>
        <v>0.00388775398533566</v>
      </c>
      <c r="K106" s="9" t="n">
        <f aca="false">G106-I106</f>
        <v>0.00888974767867557</v>
      </c>
      <c r="L106" s="9" t="n">
        <f aca="false">SQRT(H106^2+J106^2)</f>
        <v>0.00573961490720072</v>
      </c>
      <c r="M106" s="5" t="n">
        <f aca="false">K106/L106</f>
        <v>1.54884044006555</v>
      </c>
      <c r="N106" s="0" t="str">
        <f aca="false">IF(OR(G106&gt;2*H106,I106&gt;2*J106),"yes","no")</f>
        <v>no</v>
      </c>
      <c r="O106" s="0" t="str">
        <f aca="false">IF(N106="no","NOT JUDGED",IF(K106&gt;2*L106,"WIN",IF(K106&lt;-2*L106,"LOSS","TIE")))</f>
        <v>NOT JUDGED</v>
      </c>
    </row>
    <row r="107" customFormat="false" ht="15" hidden="false" customHeight="false" outlineLevel="0" collapsed="false">
      <c r="A107" s="0" t="s">
        <v>33</v>
      </c>
      <c r="B107" s="0" t="s">
        <v>28</v>
      </c>
      <c r="C107" s="0" t="n">
        <v>36</v>
      </c>
      <c r="D107" s="0" t="n">
        <v>0.3</v>
      </c>
      <c r="E107" s="0" t="n">
        <v>50</v>
      </c>
      <c r="F107" s="0" t="s">
        <v>31</v>
      </c>
      <c r="G107" s="8" t="n">
        <f aca="false">'Echo (tests 2, 3E)'!G158</f>
        <v>0.00472344519928857</v>
      </c>
      <c r="H107" s="8" t="n">
        <f aca="false">'Echo (tests 2, 3E)'!H158</f>
        <v>0.00422238655649472</v>
      </c>
      <c r="I107" s="8" t="n">
        <f aca="false">'Echo (tests 2, 3E)'!G160</f>
        <v>-0.00680193348577383</v>
      </c>
      <c r="J107" s="8" t="n">
        <f aca="false">'Echo (tests 2, 3E)'!H160</f>
        <v>0.00391250810217053</v>
      </c>
      <c r="K107" s="9" t="n">
        <f aca="false">G107-I107</f>
        <v>0.0115253786850624</v>
      </c>
      <c r="L107" s="9" t="n">
        <f aca="false">SQRT(H107^2+J107^2)</f>
        <v>0.00575641102441595</v>
      </c>
      <c r="M107" s="5" t="n">
        <f aca="false">K107/L107</f>
        <v>2.00218133072452</v>
      </c>
      <c r="N107" s="0" t="str">
        <f aca="false">IF(OR(G107&gt;2*H107,I107&gt;2*J107),"yes","no")</f>
        <v>no</v>
      </c>
      <c r="O107" s="0" t="str">
        <f aca="false">IF(N107="no","NOT JUDGED",IF(K107&gt;2*L107,"WIN",IF(K107&lt;-2*L107,"LOSS","TIE")))</f>
        <v>NOT JUDGED</v>
      </c>
    </row>
    <row r="108" customFormat="false" ht="15" hidden="false" customHeight="false" outlineLevel="0" collapsed="false">
      <c r="A108" s="0" t="s">
        <v>33</v>
      </c>
      <c r="B108" s="0" t="s">
        <v>28</v>
      </c>
      <c r="C108" s="0" t="n">
        <v>36</v>
      </c>
      <c r="D108" s="0" t="n">
        <v>0.3</v>
      </c>
      <c r="E108" s="0" t="n">
        <v>100</v>
      </c>
      <c r="F108" s="0" t="s">
        <v>30</v>
      </c>
      <c r="G108" s="8" t="n">
        <f aca="false">'Echo (tests 2, 3E)'!G161</f>
        <v>0.00459010642030172</v>
      </c>
      <c r="H108" s="8" t="n">
        <f aca="false">'Echo (tests 2, 3E)'!H161</f>
        <v>0.00388873896948545</v>
      </c>
      <c r="I108" s="8" t="n">
        <f aca="false">'Echo (tests 2, 3E)'!G162</f>
        <v>-0.0104656941561669</v>
      </c>
      <c r="J108" s="8" t="n">
        <f aca="false">'Echo (tests 2, 3E)'!H162</f>
        <v>0.00401110311177136</v>
      </c>
      <c r="K108" s="9" t="n">
        <f aca="false">G108-I108</f>
        <v>0.0150558005764686</v>
      </c>
      <c r="L108" s="9" t="n">
        <f aca="false">SQRT(H108^2+J108^2)</f>
        <v>0.00558670197397862</v>
      </c>
      <c r="M108" s="5" t="n">
        <f aca="false">K108/L108</f>
        <v>2.69493533870153</v>
      </c>
      <c r="N108" s="0" t="str">
        <f aca="false">IF(OR(G108&gt;2*H108,I108&gt;2*J108),"yes","no")</f>
        <v>no</v>
      </c>
      <c r="O108" s="0" t="str">
        <f aca="false">IF(N108="no","NOT JUDGED",IF(K108&gt;2*L108,"WIN",IF(K108&lt;-2*L108,"LOSS","TIE")))</f>
        <v>NOT JUDGED</v>
      </c>
    </row>
    <row r="109" customFormat="false" ht="15" hidden="false" customHeight="false" outlineLevel="0" collapsed="false">
      <c r="A109" s="0" t="s">
        <v>33</v>
      </c>
      <c r="B109" s="0" t="s">
        <v>28</v>
      </c>
      <c r="C109" s="0" t="n">
        <v>36</v>
      </c>
      <c r="D109" s="0" t="n">
        <v>0.3</v>
      </c>
      <c r="E109" s="0" t="n">
        <v>100</v>
      </c>
      <c r="F109" s="0" t="s">
        <v>31</v>
      </c>
      <c r="G109" s="8" t="n">
        <f aca="false">'Echo (tests 2, 3E)'!G161</f>
        <v>0.00459010642030172</v>
      </c>
      <c r="H109" s="8" t="n">
        <f aca="false">'Echo (tests 2, 3E)'!H161</f>
        <v>0.00388873896948545</v>
      </c>
      <c r="I109" s="8" t="n">
        <f aca="false">'Echo (tests 2, 3E)'!G163</f>
        <v>0.00173993736225496</v>
      </c>
      <c r="J109" s="8" t="n">
        <f aca="false">'Echo (tests 2, 3E)'!H163</f>
        <v>0.00385469573838609</v>
      </c>
      <c r="K109" s="9" t="n">
        <f aca="false">G109-I109</f>
        <v>0.00285016905804676</v>
      </c>
      <c r="L109" s="9" t="n">
        <f aca="false">SQRT(H109^2+J109^2)</f>
        <v>0.00547548810685647</v>
      </c>
      <c r="M109" s="5" t="n">
        <f aca="false">K109/L109</f>
        <v>0.520532416914164</v>
      </c>
      <c r="N109" s="0" t="str">
        <f aca="false">IF(OR(G109&gt;2*H109,I109&gt;2*J109),"yes","no")</f>
        <v>no</v>
      </c>
      <c r="O109" s="0" t="str">
        <f aca="false">IF(N109="no","NOT JUDGED",IF(K109&gt;2*L109,"WIN",IF(K109&lt;-2*L109,"LOSS","TIE")))</f>
        <v>NOT JUDGED</v>
      </c>
    </row>
    <row r="110" customFormat="false" ht="15" hidden="false" customHeight="false" outlineLevel="0" collapsed="false">
      <c r="A110" s="0" t="s">
        <v>33</v>
      </c>
      <c r="B110" s="0" t="s">
        <v>32</v>
      </c>
      <c r="C110" s="0" t="n">
        <v>40</v>
      </c>
      <c r="D110" s="0" t="n">
        <v>0</v>
      </c>
      <c r="E110" s="0" t="n">
        <v>24</v>
      </c>
      <c r="F110" s="0" t="s">
        <v>30</v>
      </c>
      <c r="G110" s="8" t="n">
        <f aca="false">'Echo (tests 2, 3E)'!G164</f>
        <v>0.201752064365869</v>
      </c>
      <c r="H110" s="8" t="n">
        <f aca="false">'Echo (tests 2, 3E)'!H164</f>
        <v>0.00659558295955944</v>
      </c>
      <c r="I110" s="8" t="n">
        <f aca="false">'Echo (tests 2, 3E)'!G165</f>
        <v>-0.00203531401987735</v>
      </c>
      <c r="J110" s="8" t="n">
        <f aca="false">'Echo (tests 2, 3E)'!H165</f>
        <v>0.00391510066506605</v>
      </c>
      <c r="K110" s="9" t="n">
        <f aca="false">G110-I110</f>
        <v>0.203787378385746</v>
      </c>
      <c r="L110" s="9" t="n">
        <f aca="false">SQRT(H110^2+J110^2)</f>
        <v>0.00767005396291522</v>
      </c>
      <c r="M110" s="5" t="n">
        <f aca="false">K110/L110</f>
        <v>26.5692235505852</v>
      </c>
      <c r="N110" s="0" t="str">
        <f aca="false">IF(OR(G110&gt;2*H110,I110&gt;2*J110),"yes","no")</f>
        <v>yes</v>
      </c>
      <c r="O110" s="0" t="str">
        <f aca="false">IF(N110="no","NOT JUDGED",IF(K110&gt;2*L110,"WIN",IF(K110&lt;-2*L110,"LOSS","TIE")))</f>
        <v>WIN</v>
      </c>
    </row>
    <row r="111" customFormat="false" ht="15" hidden="false" customHeight="false" outlineLevel="0" collapsed="false">
      <c r="A111" s="0" t="s">
        <v>33</v>
      </c>
      <c r="B111" s="0" t="s">
        <v>32</v>
      </c>
      <c r="C111" s="0" t="n">
        <v>40</v>
      </c>
      <c r="D111" s="0" t="n">
        <v>0</v>
      </c>
      <c r="E111" s="0" t="n">
        <v>24</v>
      </c>
      <c r="F111" s="0" t="s">
        <v>31</v>
      </c>
      <c r="G111" s="8" t="n">
        <f aca="false">'Echo (tests 2, 3E)'!G164</f>
        <v>0.201752064365869</v>
      </c>
      <c r="H111" s="8" t="n">
        <f aca="false">'Echo (tests 2, 3E)'!H164</f>
        <v>0.00659558295955944</v>
      </c>
      <c r="I111" s="8" t="n">
        <f aca="false">'Echo (tests 2, 3E)'!G166</f>
        <v>0.0136513332625093</v>
      </c>
      <c r="J111" s="8" t="n">
        <f aca="false">'Echo (tests 2, 3E)'!H166</f>
        <v>0.00404972590426658</v>
      </c>
      <c r="K111" s="9" t="n">
        <f aca="false">G111-I111</f>
        <v>0.18810073110336</v>
      </c>
      <c r="L111" s="9" t="n">
        <f aca="false">SQRT(H111^2+J111^2)</f>
        <v>0.00773963787758307</v>
      </c>
      <c r="M111" s="5" t="n">
        <f aca="false">K111/L111</f>
        <v>24.3035571015759</v>
      </c>
      <c r="N111" s="0" t="str">
        <f aca="false">IF(OR(G111&gt;2*H111,I111&gt;2*J111),"yes","no")</f>
        <v>yes</v>
      </c>
      <c r="O111" s="0" t="str">
        <f aca="false">IF(N111="no","NOT JUDGED",IF(K111&gt;2*L111,"WIN",IF(K111&lt;-2*L111,"LOSS","TIE")))</f>
        <v>WIN</v>
      </c>
    </row>
    <row r="112" customFormat="false" ht="15" hidden="false" customHeight="false" outlineLevel="0" collapsed="false">
      <c r="A112" s="0" t="s">
        <v>33</v>
      </c>
      <c r="B112" s="0" t="s">
        <v>32</v>
      </c>
      <c r="C112" s="0" t="n">
        <v>40</v>
      </c>
      <c r="D112" s="0" t="n">
        <v>0</v>
      </c>
      <c r="E112" s="0" t="n">
        <v>50</v>
      </c>
      <c r="F112" s="0" t="s">
        <v>30</v>
      </c>
      <c r="G112" s="8" t="n">
        <f aca="false">'Echo (tests 2, 3E)'!G167</f>
        <v>0.00278403818109506</v>
      </c>
      <c r="H112" s="8" t="n">
        <f aca="false">'Echo (tests 2, 3E)'!H167</f>
        <v>0.0043090492791077</v>
      </c>
      <c r="I112" s="8" t="n">
        <f aca="false">'Echo (tests 2, 3E)'!G168</f>
        <v>0.00421996921280323</v>
      </c>
      <c r="J112" s="8" t="n">
        <f aca="false">'Echo (tests 2, 3E)'!H168</f>
        <v>0.00383106044329494</v>
      </c>
      <c r="K112" s="9" t="n">
        <f aca="false">G112-I112</f>
        <v>-0.00143593103170817</v>
      </c>
      <c r="L112" s="9" t="n">
        <f aca="false">SQRT(H112^2+J112^2)</f>
        <v>0.00576584163934094</v>
      </c>
      <c r="M112" s="5" t="n">
        <f aca="false">K112/L112</f>
        <v>-0.249041011100732</v>
      </c>
      <c r="N112" s="0" t="str">
        <f aca="false">IF(OR(G112&gt;2*H112,I112&gt;2*J112),"yes","no")</f>
        <v>no</v>
      </c>
      <c r="O112" s="0" t="str">
        <f aca="false">IF(N112="no","NOT JUDGED",IF(K112&gt;2*L112,"WIN",IF(K112&lt;-2*L112,"LOSS","TIE")))</f>
        <v>NOT JUDGED</v>
      </c>
    </row>
    <row r="113" customFormat="false" ht="15" hidden="false" customHeight="false" outlineLevel="0" collapsed="false">
      <c r="A113" s="0" t="s">
        <v>33</v>
      </c>
      <c r="B113" s="0" t="s">
        <v>32</v>
      </c>
      <c r="C113" s="0" t="n">
        <v>40</v>
      </c>
      <c r="D113" s="0" t="n">
        <v>0</v>
      </c>
      <c r="E113" s="0" t="n">
        <v>50</v>
      </c>
      <c r="F113" s="0" t="s">
        <v>31</v>
      </c>
      <c r="G113" s="8" t="n">
        <f aca="false">'Echo (tests 2, 3E)'!G167</f>
        <v>0.00278403818109506</v>
      </c>
      <c r="H113" s="8" t="n">
        <f aca="false">'Echo (tests 2, 3E)'!H167</f>
        <v>0.0043090492791077</v>
      </c>
      <c r="I113" s="8" t="n">
        <f aca="false">'Echo (tests 2, 3E)'!G169</f>
        <v>-0.000637924618574239</v>
      </c>
      <c r="J113" s="8" t="n">
        <f aca="false">'Echo (tests 2, 3E)'!H169</f>
        <v>0.00375827805378093</v>
      </c>
      <c r="K113" s="9" t="n">
        <f aca="false">G113-I113</f>
        <v>0.0034219627996693</v>
      </c>
      <c r="L113" s="9" t="n">
        <f aca="false">SQRT(H113^2+J113^2)</f>
        <v>0.00571774077930348</v>
      </c>
      <c r="M113" s="5" t="n">
        <f aca="false">K113/L113</f>
        <v>0.598481626179309</v>
      </c>
      <c r="N113" s="0" t="str">
        <f aca="false">IF(OR(G113&gt;2*H113,I113&gt;2*J113),"yes","no")</f>
        <v>no</v>
      </c>
      <c r="O113" s="0" t="str">
        <f aca="false">IF(N113="no","NOT JUDGED",IF(K113&gt;2*L113,"WIN",IF(K113&lt;-2*L113,"LOSS","TIE")))</f>
        <v>NOT JUDGED</v>
      </c>
    </row>
    <row r="114" customFormat="false" ht="15" hidden="false" customHeight="false" outlineLevel="0" collapsed="false">
      <c r="A114" s="0" t="s">
        <v>33</v>
      </c>
      <c r="B114" s="0" t="s">
        <v>32</v>
      </c>
      <c r="C114" s="0" t="n">
        <v>40</v>
      </c>
      <c r="D114" s="0" t="n">
        <v>0</v>
      </c>
      <c r="E114" s="0" t="n">
        <v>100</v>
      </c>
      <c r="F114" s="0" t="s">
        <v>30</v>
      </c>
      <c r="G114" s="8" t="n">
        <f aca="false">'Echo (tests 2, 3E)'!G170</f>
        <v>0.00816467647137044</v>
      </c>
      <c r="H114" s="8" t="n">
        <f aca="false">'Echo (tests 2, 3E)'!H170</f>
        <v>0.00375235351964864</v>
      </c>
      <c r="I114" s="8" t="n">
        <f aca="false">'Echo (tests 2, 3E)'!G171</f>
        <v>0.00279455992334921</v>
      </c>
      <c r="J114" s="8" t="n">
        <f aca="false">'Echo (tests 2, 3E)'!H171</f>
        <v>0.00384533757206471</v>
      </c>
      <c r="K114" s="9" t="n">
        <f aca="false">G114-I114</f>
        <v>0.00537011654802123</v>
      </c>
      <c r="L114" s="9" t="n">
        <f aca="false">SQRT(H114^2+J114^2)</f>
        <v>0.00537278121456216</v>
      </c>
      <c r="M114" s="5" t="n">
        <f aca="false">K114/L114</f>
        <v>0.999504043355849</v>
      </c>
      <c r="N114" s="0" t="str">
        <f aca="false">IF(OR(G114&gt;2*H114,I114&gt;2*J114),"yes","no")</f>
        <v>yes</v>
      </c>
      <c r="O114" s="0" t="str">
        <f aca="false">IF(N114="no","NOT JUDGED",IF(K114&gt;2*L114,"WIN",IF(K114&lt;-2*L114,"LOSS","TIE")))</f>
        <v>TIE</v>
      </c>
    </row>
    <row r="115" customFormat="false" ht="15" hidden="false" customHeight="false" outlineLevel="0" collapsed="false">
      <c r="A115" s="0" t="s">
        <v>33</v>
      </c>
      <c r="B115" s="0" t="s">
        <v>32</v>
      </c>
      <c r="C115" s="0" t="n">
        <v>40</v>
      </c>
      <c r="D115" s="0" t="n">
        <v>0</v>
      </c>
      <c r="E115" s="0" t="n">
        <v>100</v>
      </c>
      <c r="F115" s="0" t="s">
        <v>31</v>
      </c>
      <c r="G115" s="8" t="n">
        <f aca="false">'Echo (tests 2, 3E)'!G170</f>
        <v>0.00816467647137044</v>
      </c>
      <c r="H115" s="8" t="n">
        <f aca="false">'Echo (tests 2, 3E)'!H170</f>
        <v>0.00375235351964864</v>
      </c>
      <c r="I115" s="8" t="n">
        <f aca="false">'Echo (tests 2, 3E)'!G172</f>
        <v>-0.00301574593007739</v>
      </c>
      <c r="J115" s="8" t="n">
        <f aca="false">'Echo (tests 2, 3E)'!H172</f>
        <v>0.00374906966453133</v>
      </c>
      <c r="K115" s="9" t="n">
        <f aca="false">G115-I115</f>
        <v>0.0111804224014478</v>
      </c>
      <c r="L115" s="9" t="n">
        <f aca="false">SQRT(H115^2+J115^2)</f>
        <v>0.00530430771033587</v>
      </c>
      <c r="M115" s="5" t="n">
        <f aca="false">K115/L115</f>
        <v>2.10780049197785</v>
      </c>
      <c r="N115" s="0" t="str">
        <f aca="false">IF(OR(G115&gt;2*H115,I115&gt;2*J115),"yes","no")</f>
        <v>yes</v>
      </c>
      <c r="O115" s="0" t="str">
        <f aca="false">IF(N115="no","NOT JUDGED",IF(K115&gt;2*L115,"WIN",IF(K115&lt;-2*L115,"LOSS","TIE")))</f>
        <v>WIN</v>
      </c>
    </row>
    <row r="116" customFormat="false" ht="15" hidden="false" customHeight="false" outlineLevel="0" collapsed="false">
      <c r="A116" s="0" t="s">
        <v>33</v>
      </c>
      <c r="B116" s="0" t="s">
        <v>32</v>
      </c>
      <c r="C116" s="0" t="n">
        <v>40</v>
      </c>
      <c r="D116" s="0" t="n">
        <v>0.1</v>
      </c>
      <c r="E116" s="0" t="n">
        <v>24</v>
      </c>
      <c r="F116" s="0" t="s">
        <v>30</v>
      </c>
      <c r="G116" s="8" t="n">
        <f aca="false">'Echo (tests 2, 3E)'!G173</f>
        <v>0.230151982144755</v>
      </c>
      <c r="H116" s="8" t="n">
        <f aca="false">'Echo (tests 2, 3E)'!H173</f>
        <v>0.00621388436284016</v>
      </c>
      <c r="I116" s="8" t="n">
        <f aca="false">'Echo (tests 2, 3E)'!G174</f>
        <v>0.000212590683213308</v>
      </c>
      <c r="J116" s="8" t="n">
        <f aca="false">'Echo (tests 2, 3E)'!H174</f>
        <v>0.00400510377255842</v>
      </c>
      <c r="K116" s="9" t="n">
        <f aca="false">G116-I116</f>
        <v>0.229939391461542</v>
      </c>
      <c r="L116" s="9" t="n">
        <f aca="false">SQRT(H116^2+J116^2)</f>
        <v>0.00739278128336766</v>
      </c>
      <c r="M116" s="5" t="n">
        <f aca="false">K116/L116</f>
        <v>31.1032320107807</v>
      </c>
      <c r="N116" s="0" t="str">
        <f aca="false">IF(OR(G116&gt;2*H116,I116&gt;2*J116),"yes","no")</f>
        <v>yes</v>
      </c>
      <c r="O116" s="0" t="str">
        <f aca="false">IF(N116="no","NOT JUDGED",IF(K116&gt;2*L116,"WIN",IF(K116&lt;-2*L116,"LOSS","TIE")))</f>
        <v>WIN</v>
      </c>
    </row>
    <row r="117" customFormat="false" ht="15" hidden="false" customHeight="false" outlineLevel="0" collapsed="false">
      <c r="A117" s="0" t="s">
        <v>33</v>
      </c>
      <c r="B117" s="0" t="s">
        <v>32</v>
      </c>
      <c r="C117" s="0" t="n">
        <v>40</v>
      </c>
      <c r="D117" s="0" t="n">
        <v>0.1</v>
      </c>
      <c r="E117" s="0" t="n">
        <v>24</v>
      </c>
      <c r="F117" s="0" t="s">
        <v>31</v>
      </c>
      <c r="G117" s="8" t="n">
        <f aca="false">'Echo (tests 2, 3E)'!G173</f>
        <v>0.230151982144755</v>
      </c>
      <c r="H117" s="8" t="n">
        <f aca="false">'Echo (tests 2, 3E)'!H173</f>
        <v>0.00621388436284016</v>
      </c>
      <c r="I117" s="8" t="n">
        <f aca="false">'Echo (tests 2, 3E)'!G175</f>
        <v>-0.000319471806613067</v>
      </c>
      <c r="J117" s="8" t="n">
        <f aca="false">'Echo (tests 2, 3E)'!H175</f>
        <v>0.00398864894100901</v>
      </c>
      <c r="K117" s="9" t="n">
        <f aca="false">G117-I117</f>
        <v>0.230471453951368</v>
      </c>
      <c r="L117" s="9" t="n">
        <f aca="false">SQRT(H117^2+J117^2)</f>
        <v>0.00738387968816948</v>
      </c>
      <c r="M117" s="5" t="n">
        <f aca="false">K117/L117</f>
        <v>31.2127856471757</v>
      </c>
      <c r="N117" s="0" t="str">
        <f aca="false">IF(OR(G117&gt;2*H117,I117&gt;2*J117),"yes","no")</f>
        <v>yes</v>
      </c>
      <c r="O117" s="0" t="str">
        <f aca="false">IF(N117="no","NOT JUDGED",IF(K117&gt;2*L117,"WIN",IF(K117&lt;-2*L117,"LOSS","TIE")))</f>
        <v>WIN</v>
      </c>
    </row>
    <row r="118" customFormat="false" ht="15" hidden="false" customHeight="false" outlineLevel="0" collapsed="false">
      <c r="A118" s="0" t="s">
        <v>33</v>
      </c>
      <c r="B118" s="0" t="s">
        <v>32</v>
      </c>
      <c r="C118" s="0" t="n">
        <v>40</v>
      </c>
      <c r="D118" s="0" t="n">
        <v>0.1</v>
      </c>
      <c r="E118" s="0" t="n">
        <v>50</v>
      </c>
      <c r="F118" s="0" t="s">
        <v>30</v>
      </c>
      <c r="G118" s="8" t="n">
        <f aca="false">'Echo (tests 2, 3E)'!G176</f>
        <v>0.0122429510281959</v>
      </c>
      <c r="H118" s="8" t="n">
        <f aca="false">'Echo (tests 2, 3E)'!H176</f>
        <v>0.00412079978591489</v>
      </c>
      <c r="I118" s="8" t="n">
        <f aca="false">'Echo (tests 2, 3E)'!G177</f>
        <v>0.000185430463576159</v>
      </c>
      <c r="J118" s="8" t="n">
        <f aca="false">'Echo (tests 2, 3E)'!H177</f>
        <v>0.00378968768773061</v>
      </c>
      <c r="K118" s="9" t="n">
        <f aca="false">G118-I118</f>
        <v>0.0120575205646197</v>
      </c>
      <c r="L118" s="9" t="n">
        <f aca="false">SQRT(H118^2+J118^2)</f>
        <v>0.00559845725589945</v>
      </c>
      <c r="M118" s="5" t="n">
        <f aca="false">K118/L118</f>
        <v>2.1537220011663</v>
      </c>
      <c r="N118" s="0" t="str">
        <f aca="false">IF(OR(G118&gt;2*H118,I118&gt;2*J118),"yes","no")</f>
        <v>yes</v>
      </c>
      <c r="O118" s="0" t="str">
        <f aca="false">IF(N118="no","NOT JUDGED",IF(K118&gt;2*L118,"WIN",IF(K118&lt;-2*L118,"LOSS","TIE")))</f>
        <v>WIN</v>
      </c>
    </row>
    <row r="119" customFormat="false" ht="15" hidden="false" customHeight="false" outlineLevel="0" collapsed="false">
      <c r="A119" s="0" t="s">
        <v>33</v>
      </c>
      <c r="B119" s="0" t="s">
        <v>32</v>
      </c>
      <c r="C119" s="0" t="n">
        <v>40</v>
      </c>
      <c r="D119" s="0" t="n">
        <v>0.1</v>
      </c>
      <c r="E119" s="0" t="n">
        <v>50</v>
      </c>
      <c r="F119" s="0" t="s">
        <v>31</v>
      </c>
      <c r="G119" s="8" t="n">
        <f aca="false">'Echo (tests 2, 3E)'!G176</f>
        <v>0.0122429510281959</v>
      </c>
      <c r="H119" s="8" t="n">
        <f aca="false">'Echo (tests 2, 3E)'!H176</f>
        <v>0.00412079978591489</v>
      </c>
      <c r="I119" s="8" t="n">
        <f aca="false">'Echo (tests 2, 3E)'!G178</f>
        <v>-0.000318699705202773</v>
      </c>
      <c r="J119" s="8" t="n">
        <f aca="false">'Echo (tests 2, 3E)'!H178</f>
        <v>0.00380167406650955</v>
      </c>
      <c r="K119" s="9" t="n">
        <f aca="false">G119-I119</f>
        <v>0.0125616507333987</v>
      </c>
      <c r="L119" s="9" t="n">
        <f aca="false">SQRT(H119^2+J119^2)</f>
        <v>0.00560657797444818</v>
      </c>
      <c r="M119" s="5" t="n">
        <f aca="false">K119/L119</f>
        <v>2.24052011595095</v>
      </c>
      <c r="N119" s="0" t="str">
        <f aca="false">IF(OR(G119&gt;2*H119,I119&gt;2*J119),"yes","no")</f>
        <v>yes</v>
      </c>
      <c r="O119" s="0" t="str">
        <f aca="false">IF(N119="no","NOT JUDGED",IF(K119&gt;2*L119,"WIN",IF(K119&lt;-2*L119,"LOSS","TIE")))</f>
        <v>WIN</v>
      </c>
    </row>
    <row r="120" customFormat="false" ht="15" hidden="false" customHeight="false" outlineLevel="0" collapsed="false">
      <c r="A120" s="0" t="s">
        <v>33</v>
      </c>
      <c r="B120" s="0" t="s">
        <v>32</v>
      </c>
      <c r="C120" s="0" t="n">
        <v>40</v>
      </c>
      <c r="D120" s="0" t="n">
        <v>0.1</v>
      </c>
      <c r="E120" s="0" t="n">
        <v>100</v>
      </c>
      <c r="F120" s="0" t="s">
        <v>30</v>
      </c>
      <c r="G120" s="8" t="n">
        <f aca="false">'Echo (tests 2, 3E)'!G179</f>
        <v>-0.000665548545110881</v>
      </c>
      <c r="H120" s="8" t="n">
        <f aca="false">'Echo (tests 2, 3E)'!H179</f>
        <v>0.00387588152369357</v>
      </c>
      <c r="I120" s="8" t="n">
        <f aca="false">'Echo (tests 2, 3E)'!G180</f>
        <v>0.00816684844776675</v>
      </c>
      <c r="J120" s="8" t="n">
        <f aca="false">'Echo (tests 2, 3E)'!H180</f>
        <v>0.00368957479028421</v>
      </c>
      <c r="K120" s="9" t="n">
        <f aca="false">G120-I120</f>
        <v>-0.00883239699287763</v>
      </c>
      <c r="L120" s="9" t="n">
        <f aca="false">SQRT(H120^2+J120^2)</f>
        <v>0.00535120731413108</v>
      </c>
      <c r="M120" s="5" t="n">
        <f aca="false">K120/L120</f>
        <v>-1.65054285404972</v>
      </c>
      <c r="N120" s="0" t="str">
        <f aca="false">IF(OR(G120&gt;2*H120,I120&gt;2*J120),"yes","no")</f>
        <v>yes</v>
      </c>
      <c r="O120" s="0" t="str">
        <f aca="false">IF(N120="no","NOT JUDGED",IF(K120&gt;2*L120,"WIN",IF(K120&lt;-2*L120,"LOSS","TIE")))</f>
        <v>TIE</v>
      </c>
    </row>
    <row r="121" customFormat="false" ht="15" hidden="false" customHeight="false" outlineLevel="0" collapsed="false">
      <c r="A121" s="0" t="s">
        <v>33</v>
      </c>
      <c r="B121" s="0" t="s">
        <v>32</v>
      </c>
      <c r="C121" s="0" t="n">
        <v>40</v>
      </c>
      <c r="D121" s="0" t="n">
        <v>0.1</v>
      </c>
      <c r="E121" s="0" t="n">
        <v>100</v>
      </c>
      <c r="F121" s="0" t="s">
        <v>31</v>
      </c>
      <c r="G121" s="8" t="n">
        <f aca="false">'Echo (tests 2, 3E)'!G179</f>
        <v>-0.000665548545110881</v>
      </c>
      <c r="H121" s="8" t="n">
        <f aca="false">'Echo (tests 2, 3E)'!H179</f>
        <v>0.00387588152369357</v>
      </c>
      <c r="I121" s="8" t="n">
        <f aca="false">'Echo (tests 2, 3E)'!G181</f>
        <v>-0.00488273433122549</v>
      </c>
      <c r="J121" s="8" t="n">
        <f aca="false">'Echo (tests 2, 3E)'!H181</f>
        <v>0.00374824389838224</v>
      </c>
      <c r="K121" s="9" t="n">
        <f aca="false">G121-I121</f>
        <v>0.00421718578611461</v>
      </c>
      <c r="L121" s="9" t="n">
        <f aca="false">SQRT(H121^2+J121^2)</f>
        <v>0.00539182621265456</v>
      </c>
      <c r="M121" s="5" t="n">
        <f aca="false">K121/L121</f>
        <v>0.782144234585476</v>
      </c>
      <c r="N121" s="0" t="str">
        <f aca="false">IF(OR(G121&gt;2*H121,I121&gt;2*J121),"yes","no")</f>
        <v>no</v>
      </c>
      <c r="O121" s="0" t="str">
        <f aca="false">IF(N121="no","NOT JUDGED",IF(K121&gt;2*L121,"WIN",IF(K121&lt;-2*L121,"LOSS","TIE")))</f>
        <v>NOT JUDGED</v>
      </c>
    </row>
    <row r="122" customFormat="false" ht="15" hidden="false" customHeight="false" outlineLevel="0" collapsed="false">
      <c r="A122" s="0" t="s">
        <v>33</v>
      </c>
      <c r="B122" s="0" t="s">
        <v>32</v>
      </c>
      <c r="C122" s="0" t="n">
        <v>40</v>
      </c>
      <c r="D122" s="0" t="n">
        <v>0.3</v>
      </c>
      <c r="E122" s="0" t="n">
        <v>24</v>
      </c>
      <c r="F122" s="0" t="s">
        <v>30</v>
      </c>
      <c r="G122" s="8" t="n">
        <f aca="false">'Echo (tests 2, 3E)'!G182</f>
        <v>0.22918766912506</v>
      </c>
      <c r="H122" s="8" t="n">
        <f aca="false">'Echo (tests 2, 3E)'!H182</f>
        <v>0.00582409131311944</v>
      </c>
      <c r="I122" s="8" t="n">
        <f aca="false">'Echo (tests 2, 3E)'!G183</f>
        <v>0.00416500862183314</v>
      </c>
      <c r="J122" s="8" t="n">
        <f aca="false">'Echo (tests 2, 3E)'!H183</f>
        <v>0.00389351158187437</v>
      </c>
      <c r="K122" s="9" t="n">
        <f aca="false">G122-I122</f>
        <v>0.225022660503227</v>
      </c>
      <c r="L122" s="9" t="n">
        <f aca="false">SQRT(H122^2+J122^2)</f>
        <v>0.00700567427602392</v>
      </c>
      <c r="M122" s="5" t="n">
        <f aca="false">K122/L122</f>
        <v>32.1200574901605</v>
      </c>
      <c r="N122" s="0" t="str">
        <f aca="false">IF(OR(G122&gt;2*H122,I122&gt;2*J122),"yes","no")</f>
        <v>yes</v>
      </c>
      <c r="O122" s="0" t="str">
        <f aca="false">IF(N122="no","NOT JUDGED",IF(K122&gt;2*L122,"WIN",IF(K122&lt;-2*L122,"LOSS","TIE")))</f>
        <v>WIN</v>
      </c>
    </row>
    <row r="123" customFormat="false" ht="15" hidden="false" customHeight="false" outlineLevel="0" collapsed="false">
      <c r="A123" s="0" t="s">
        <v>33</v>
      </c>
      <c r="B123" s="0" t="s">
        <v>32</v>
      </c>
      <c r="C123" s="0" t="n">
        <v>40</v>
      </c>
      <c r="D123" s="0" t="n">
        <v>0.3</v>
      </c>
      <c r="E123" s="0" t="n">
        <v>24</v>
      </c>
      <c r="F123" s="0" t="s">
        <v>31</v>
      </c>
      <c r="G123" s="8" t="n">
        <f aca="false">'Echo (tests 2, 3E)'!G182</f>
        <v>0.22918766912506</v>
      </c>
      <c r="H123" s="8" t="n">
        <f aca="false">'Echo (tests 2, 3E)'!H182</f>
        <v>0.00582409131311944</v>
      </c>
      <c r="I123" s="8" t="n">
        <f aca="false">'Echo (tests 2, 3E)'!G184</f>
        <v>0.0136524210470398</v>
      </c>
      <c r="J123" s="8" t="n">
        <f aca="false">'Echo (tests 2, 3E)'!H184</f>
        <v>0.00381041428447125</v>
      </c>
      <c r="K123" s="9" t="n">
        <f aca="false">G123-I123</f>
        <v>0.21553524807802</v>
      </c>
      <c r="L123" s="9" t="n">
        <f aca="false">SQRT(H123^2+J123^2)</f>
        <v>0.00695983452697375</v>
      </c>
      <c r="M123" s="5" t="n">
        <f aca="false">K123/L123</f>
        <v>30.968444327618</v>
      </c>
      <c r="N123" s="0" t="str">
        <f aca="false">IF(OR(G123&gt;2*H123,I123&gt;2*J123),"yes","no")</f>
        <v>yes</v>
      </c>
      <c r="O123" s="0" t="str">
        <f aca="false">IF(N123="no","NOT JUDGED",IF(K123&gt;2*L123,"WIN",IF(K123&lt;-2*L123,"LOSS","TIE")))</f>
        <v>WIN</v>
      </c>
    </row>
    <row r="124" customFormat="false" ht="15" hidden="false" customHeight="false" outlineLevel="0" collapsed="false">
      <c r="A124" s="0" t="s">
        <v>33</v>
      </c>
      <c r="B124" s="0" t="s">
        <v>32</v>
      </c>
      <c r="C124" s="0" t="n">
        <v>40</v>
      </c>
      <c r="D124" s="0" t="n">
        <v>0.3</v>
      </c>
      <c r="E124" s="0" t="n">
        <v>50</v>
      </c>
      <c r="F124" s="0" t="s">
        <v>30</v>
      </c>
      <c r="G124" s="8" t="n">
        <f aca="false">'Echo (tests 2, 3E)'!G185</f>
        <v>0.00813029661016949</v>
      </c>
      <c r="H124" s="8" t="n">
        <f aca="false">'Echo (tests 2, 3E)'!H185</f>
        <v>0.0039714508939453</v>
      </c>
      <c r="I124" s="8" t="n">
        <f aca="false">'Echo (tests 2, 3E)'!G186</f>
        <v>-0.000317796610169492</v>
      </c>
      <c r="J124" s="8" t="n">
        <f aca="false">'Echo (tests 2, 3E)'!H186</f>
        <v>0.00377945944512605</v>
      </c>
      <c r="K124" s="9" t="n">
        <f aca="false">G124-I124</f>
        <v>0.00844809322033898</v>
      </c>
      <c r="L124" s="9" t="n">
        <f aca="false">SQRT(H124^2+J124^2)</f>
        <v>0.00548240238402577</v>
      </c>
      <c r="M124" s="5" t="n">
        <f aca="false">K124/L124</f>
        <v>1.54094731261507</v>
      </c>
      <c r="N124" s="0" t="str">
        <f aca="false">IF(OR(G124&gt;2*H124,I124&gt;2*J124),"yes","no")</f>
        <v>yes</v>
      </c>
      <c r="O124" s="0" t="str">
        <f aca="false">IF(N124="no","NOT JUDGED",IF(K124&gt;2*L124,"WIN",IF(K124&lt;-2*L124,"LOSS","TIE")))</f>
        <v>TIE</v>
      </c>
    </row>
    <row r="125" customFormat="false" ht="15" hidden="false" customHeight="false" outlineLevel="0" collapsed="false">
      <c r="A125" s="0" t="s">
        <v>33</v>
      </c>
      <c r="B125" s="0" t="s">
        <v>32</v>
      </c>
      <c r="C125" s="0" t="n">
        <v>40</v>
      </c>
      <c r="D125" s="0" t="n">
        <v>0.3</v>
      </c>
      <c r="E125" s="0" t="n">
        <v>50</v>
      </c>
      <c r="F125" s="0" t="s">
        <v>31</v>
      </c>
      <c r="G125" s="8" t="n">
        <f aca="false">'Echo (tests 2, 3E)'!G185</f>
        <v>0.00813029661016949</v>
      </c>
      <c r="H125" s="8" t="n">
        <f aca="false">'Echo (tests 2, 3E)'!H185</f>
        <v>0.0039714508939453</v>
      </c>
      <c r="I125" s="8" t="n">
        <f aca="false">'Echo (tests 2, 3E)'!G187</f>
        <v>-0.00013290802764487</v>
      </c>
      <c r="J125" s="8" t="n">
        <f aca="false">'Echo (tests 2, 3E)'!H187</f>
        <v>0.00383456717376916</v>
      </c>
      <c r="K125" s="9" t="n">
        <f aca="false">G125-I125</f>
        <v>0.00826320463781436</v>
      </c>
      <c r="L125" s="9" t="n">
        <f aca="false">SQRT(H125^2+J125^2)</f>
        <v>0.00552053689537231</v>
      </c>
      <c r="M125" s="5" t="n">
        <f aca="false">K125/L125</f>
        <v>1.49681177653955</v>
      </c>
      <c r="N125" s="0" t="str">
        <f aca="false">IF(OR(G125&gt;2*H125,I125&gt;2*J125),"yes","no")</f>
        <v>yes</v>
      </c>
      <c r="O125" s="0" t="str">
        <f aca="false">IF(N125="no","NOT JUDGED",IF(K125&gt;2*L125,"WIN",IF(K125&lt;-2*L125,"LOSS","TIE")))</f>
        <v>TIE</v>
      </c>
    </row>
    <row r="126" customFormat="false" ht="15" hidden="false" customHeight="false" outlineLevel="0" collapsed="false">
      <c r="A126" s="0" t="s">
        <v>33</v>
      </c>
      <c r="B126" s="0" t="s">
        <v>32</v>
      </c>
      <c r="C126" s="0" t="n">
        <v>40</v>
      </c>
      <c r="D126" s="0" t="n">
        <v>0.3</v>
      </c>
      <c r="E126" s="0" t="n">
        <v>100</v>
      </c>
      <c r="F126" s="0" t="s">
        <v>30</v>
      </c>
      <c r="G126" s="8" t="n">
        <f aca="false">'Echo (tests 2, 3E)'!G188</f>
        <v>0.00276823977215257</v>
      </c>
      <c r="H126" s="8" t="n">
        <f aca="false">'Echo (tests 2, 3E)'!H188</f>
        <v>0.00381160421051102</v>
      </c>
      <c r="I126" s="8" t="n">
        <f aca="false">'Echo (tests 2, 3E)'!G189</f>
        <v>5.3144846278532E-005</v>
      </c>
      <c r="J126" s="8" t="n">
        <f aca="false">'Echo (tests 2, 3E)'!H189</f>
        <v>0.00382542183191221</v>
      </c>
      <c r="K126" s="9" t="n">
        <f aca="false">G126-I126</f>
        <v>0.00271509492587404</v>
      </c>
      <c r="L126" s="9" t="n">
        <f aca="false">SQRT(H126^2+J126^2)</f>
        <v>0.00540020174157003</v>
      </c>
      <c r="M126" s="5" t="n">
        <f aca="false">K126/L126</f>
        <v>0.502776573136816</v>
      </c>
      <c r="N126" s="0" t="str">
        <f aca="false">IF(OR(G126&gt;2*H126,I126&gt;2*J126),"yes","no")</f>
        <v>no</v>
      </c>
      <c r="O126" s="0" t="str">
        <f aca="false">IF(N126="no","NOT JUDGED",IF(K126&gt;2*L126,"WIN",IF(K126&lt;-2*L126,"LOSS","TIE")))</f>
        <v>NOT JUDGED</v>
      </c>
    </row>
    <row r="127" customFormat="false" ht="15" hidden="false" customHeight="false" outlineLevel="0" collapsed="false">
      <c r="A127" s="0" t="s">
        <v>33</v>
      </c>
      <c r="B127" s="0" t="s">
        <v>32</v>
      </c>
      <c r="C127" s="0" t="n">
        <v>40</v>
      </c>
      <c r="D127" s="0" t="n">
        <v>0.3</v>
      </c>
      <c r="E127" s="0" t="n">
        <v>100</v>
      </c>
      <c r="F127" s="0" t="s">
        <v>31</v>
      </c>
      <c r="G127" s="8" t="n">
        <f aca="false">'Echo (tests 2, 3E)'!G188</f>
        <v>0.00276823977215257</v>
      </c>
      <c r="H127" s="8" t="n">
        <f aca="false">'Echo (tests 2, 3E)'!H188</f>
        <v>0.00381160421051102</v>
      </c>
      <c r="I127" s="8" t="n">
        <f aca="false">'Echo (tests 2, 3E)'!G190</f>
        <v>-0.0026366251198466</v>
      </c>
      <c r="J127" s="8" t="n">
        <f aca="false">'Echo (tests 2, 3E)'!H190</f>
        <v>0.00372652540939377</v>
      </c>
      <c r="K127" s="9" t="n">
        <f aca="false">G127-I127</f>
        <v>0.00540486489199917</v>
      </c>
      <c r="L127" s="9" t="n">
        <f aca="false">SQRT(H127^2+J127^2)</f>
        <v>0.00533060205647005</v>
      </c>
      <c r="M127" s="5" t="n">
        <f aca="false">K127/L127</f>
        <v>1.01393141614069</v>
      </c>
      <c r="N127" s="0" t="str">
        <f aca="false">IF(OR(G127&gt;2*H127,I127&gt;2*J127),"yes","no")</f>
        <v>no</v>
      </c>
      <c r="O127" s="0" t="str">
        <f aca="false">IF(N127="no","NOT JUDGED",IF(K127&gt;2*L127,"WIN",IF(K127&lt;-2*L127,"LOSS","TIE")))</f>
        <v>NOT JUDGED</v>
      </c>
    </row>
    <row r="128" customFormat="false" ht="15" hidden="false" customHeight="false" outlineLevel="0" collapsed="false">
      <c r="A128" s="0" t="s">
        <v>33</v>
      </c>
      <c r="B128" s="0" t="s">
        <v>32</v>
      </c>
      <c r="C128" s="0" t="n">
        <v>72</v>
      </c>
      <c r="D128" s="0" t="n">
        <v>0</v>
      </c>
      <c r="E128" s="0" t="n">
        <v>24</v>
      </c>
      <c r="F128" s="0" t="s">
        <v>30</v>
      </c>
      <c r="G128" s="8" t="n">
        <f aca="false">'Echo (tests 2, 3E)'!G191</f>
        <v>0.206701685011952</v>
      </c>
      <c r="H128" s="8" t="n">
        <f aca="false">'Echo (tests 2, 3E)'!H191</f>
        <v>0.00481683351761642</v>
      </c>
      <c r="I128" s="8" t="n">
        <f aca="false">'Echo (tests 2, 3E)'!G192</f>
        <v>0.00182858491122515</v>
      </c>
      <c r="J128" s="8" t="n">
        <f aca="false">'Echo (tests 2, 3E)'!H192</f>
        <v>0.00294419145748715</v>
      </c>
      <c r="K128" s="9" t="n">
        <f aca="false">G128-I128</f>
        <v>0.204873100100726</v>
      </c>
      <c r="L128" s="9" t="n">
        <f aca="false">SQRT(H128^2+J128^2)</f>
        <v>0.00564536522067202</v>
      </c>
      <c r="M128" s="5" t="n">
        <f aca="false">K128/L128</f>
        <v>36.2904953164994</v>
      </c>
      <c r="N128" s="0" t="str">
        <f aca="false">IF(OR(G128&gt;2*H128,I128&gt;2*J128),"yes","no")</f>
        <v>yes</v>
      </c>
      <c r="O128" s="0" t="str">
        <f aca="false">IF(N128="no","NOT JUDGED",IF(K128&gt;2*L128,"WIN",IF(K128&lt;-2*L128,"LOSS","TIE")))</f>
        <v>WIN</v>
      </c>
    </row>
    <row r="129" customFormat="false" ht="15" hidden="false" customHeight="false" outlineLevel="0" collapsed="false">
      <c r="A129" s="0" t="s">
        <v>33</v>
      </c>
      <c r="B129" s="0" t="s">
        <v>32</v>
      </c>
      <c r="C129" s="0" t="n">
        <v>72</v>
      </c>
      <c r="D129" s="0" t="n">
        <v>0</v>
      </c>
      <c r="E129" s="0" t="n">
        <v>24</v>
      </c>
      <c r="F129" s="0" t="s">
        <v>31</v>
      </c>
      <c r="G129" s="8" t="n">
        <f aca="false">'Echo (tests 2, 3E)'!G191</f>
        <v>0.206701685011952</v>
      </c>
      <c r="H129" s="8" t="n">
        <f aca="false">'Echo (tests 2, 3E)'!H191</f>
        <v>0.00481683351761642</v>
      </c>
      <c r="I129" s="8" t="n">
        <f aca="false">'Echo (tests 2, 3E)'!G193</f>
        <v>0.00241141008675195</v>
      </c>
      <c r="J129" s="8" t="n">
        <f aca="false">'Echo (tests 2, 3E)'!H193</f>
        <v>0.00284780232958687</v>
      </c>
      <c r="K129" s="9" t="n">
        <f aca="false">G129-I129</f>
        <v>0.2042902749252</v>
      </c>
      <c r="L129" s="9" t="n">
        <f aca="false">SQRT(H129^2+J129^2)</f>
        <v>0.00559570042486491</v>
      </c>
      <c r="M129" s="5" t="n">
        <f aca="false">K129/L129</f>
        <v>36.5084367307121</v>
      </c>
      <c r="N129" s="0" t="str">
        <f aca="false">IF(OR(G129&gt;2*H129,I129&gt;2*J129),"yes","no")</f>
        <v>yes</v>
      </c>
      <c r="O129" s="0" t="str">
        <f aca="false">IF(N129="no","NOT JUDGED",IF(K129&gt;2*L129,"WIN",IF(K129&lt;-2*L129,"LOSS","TIE")))</f>
        <v>WIN</v>
      </c>
    </row>
    <row r="130" customFormat="false" ht="15" hidden="false" customHeight="false" outlineLevel="0" collapsed="false">
      <c r="A130" s="0" t="s">
        <v>33</v>
      </c>
      <c r="B130" s="0" t="s">
        <v>32</v>
      </c>
      <c r="C130" s="0" t="n">
        <v>72</v>
      </c>
      <c r="D130" s="0" t="n">
        <v>0</v>
      </c>
      <c r="E130" s="0" t="n">
        <v>50</v>
      </c>
      <c r="F130" s="0" t="s">
        <v>30</v>
      </c>
      <c r="G130" s="8" t="n">
        <f aca="false">'Echo (tests 2, 3E)'!G194</f>
        <v>0.00199206126695097</v>
      </c>
      <c r="H130" s="8" t="n">
        <f aca="false">'Echo (tests 2, 3E)'!H194</f>
        <v>0.00328470029816766</v>
      </c>
      <c r="I130" s="8" t="n">
        <f aca="false">'Echo (tests 2, 3E)'!G195</f>
        <v>-0.000545143800094295</v>
      </c>
      <c r="J130" s="8" t="n">
        <f aca="false">'Echo (tests 2, 3E)'!H195</f>
        <v>0.00281187090108266</v>
      </c>
      <c r="K130" s="9" t="n">
        <f aca="false">G130-I130</f>
        <v>0.00253720506704526</v>
      </c>
      <c r="L130" s="9" t="n">
        <f aca="false">SQRT(H130^2+J130^2)</f>
        <v>0.00432387257133442</v>
      </c>
      <c r="M130" s="5" t="n">
        <f aca="false">K130/L130</f>
        <v>0.586789972458008</v>
      </c>
      <c r="N130" s="0" t="str">
        <f aca="false">IF(OR(G130&gt;2*H130,I130&gt;2*J130),"yes","no")</f>
        <v>no</v>
      </c>
      <c r="O130" s="0" t="str">
        <f aca="false">IF(N130="no","NOT JUDGED",IF(K130&gt;2*L130,"WIN",IF(K130&lt;-2*L130,"LOSS","TIE")))</f>
        <v>NOT JUDGED</v>
      </c>
    </row>
    <row r="131" customFormat="false" ht="15" hidden="false" customHeight="false" outlineLevel="0" collapsed="false">
      <c r="A131" s="0" t="s">
        <v>33</v>
      </c>
      <c r="B131" s="0" t="s">
        <v>32</v>
      </c>
      <c r="C131" s="0" t="n">
        <v>72</v>
      </c>
      <c r="D131" s="0" t="n">
        <v>0</v>
      </c>
      <c r="E131" s="0" t="n">
        <v>50</v>
      </c>
      <c r="F131" s="0" t="s">
        <v>31</v>
      </c>
      <c r="G131" s="8" t="n">
        <f aca="false">'Echo (tests 2, 3E)'!G194</f>
        <v>0.00199206126695097</v>
      </c>
      <c r="H131" s="8" t="n">
        <f aca="false">'Echo (tests 2, 3E)'!H194</f>
        <v>0.00328470029816766</v>
      </c>
      <c r="I131" s="8" t="n">
        <f aca="false">'Echo (tests 2, 3E)'!G196</f>
        <v>-0.0024975024975025</v>
      </c>
      <c r="J131" s="8" t="n">
        <f aca="false">'Echo (tests 2, 3E)'!H196</f>
        <v>0.00278802235916483</v>
      </c>
      <c r="K131" s="9" t="n">
        <f aca="false">G131-I131</f>
        <v>0.00448956376445346</v>
      </c>
      <c r="L131" s="9" t="n">
        <f aca="false">SQRT(H131^2+J131^2)</f>
        <v>0.0043084016437637</v>
      </c>
      <c r="M131" s="5" t="n">
        <f aca="false">K131/L131</f>
        <v>1.04204856827868</v>
      </c>
      <c r="N131" s="0" t="str">
        <f aca="false">IF(OR(G131&gt;2*H131,I131&gt;2*J131),"yes","no")</f>
        <v>no</v>
      </c>
      <c r="O131" s="0" t="str">
        <f aca="false">IF(N131="no","NOT JUDGED",IF(K131&gt;2*L131,"WIN",IF(K131&lt;-2*L131,"LOSS","TIE")))</f>
        <v>NOT JUDGED</v>
      </c>
    </row>
    <row r="132" customFormat="false" ht="15" hidden="false" customHeight="false" outlineLevel="0" collapsed="false">
      <c r="A132" s="0" t="s">
        <v>33</v>
      </c>
      <c r="B132" s="0" t="s">
        <v>32</v>
      </c>
      <c r="C132" s="0" t="n">
        <v>72</v>
      </c>
      <c r="D132" s="0" t="n">
        <v>0</v>
      </c>
      <c r="E132" s="0" t="n">
        <v>100</v>
      </c>
      <c r="F132" s="0" t="s">
        <v>30</v>
      </c>
      <c r="G132" s="8" t="n">
        <f aca="false">'Echo (tests 2, 3E)'!G197</f>
        <v>-0.00566040524363389</v>
      </c>
      <c r="H132" s="8" t="n">
        <f aca="false">'Echo (tests 2, 3E)'!H197</f>
        <v>0.00292793676726057</v>
      </c>
      <c r="I132" s="8" t="n">
        <f aca="false">'Echo (tests 2, 3E)'!G198</f>
        <v>0.000650512278419255</v>
      </c>
      <c r="J132" s="8" t="n">
        <f aca="false">'Echo (tests 2, 3E)'!H198</f>
        <v>0.00283211705771175</v>
      </c>
      <c r="K132" s="9" t="n">
        <f aca="false">G132-I132</f>
        <v>-0.00631091752205315</v>
      </c>
      <c r="L132" s="9" t="n">
        <f aca="false">SQRT(H132^2+J132^2)</f>
        <v>0.00407353663806503</v>
      </c>
      <c r="M132" s="5" t="n">
        <f aca="false">K132/L132</f>
        <v>-1.54924776251697</v>
      </c>
      <c r="N132" s="0" t="str">
        <f aca="false">IF(OR(G132&gt;2*H132,I132&gt;2*J132),"yes","no")</f>
        <v>no</v>
      </c>
      <c r="O132" s="0" t="str">
        <f aca="false">IF(N132="no","NOT JUDGED",IF(K132&gt;2*L132,"WIN",IF(K132&lt;-2*L132,"LOSS","TIE")))</f>
        <v>NOT JUDGED</v>
      </c>
    </row>
    <row r="133" customFormat="false" ht="15" hidden="false" customHeight="false" outlineLevel="0" collapsed="false">
      <c r="A133" s="0" t="s">
        <v>33</v>
      </c>
      <c r="B133" s="0" t="s">
        <v>32</v>
      </c>
      <c r="C133" s="0" t="n">
        <v>72</v>
      </c>
      <c r="D133" s="0" t="n">
        <v>0</v>
      </c>
      <c r="E133" s="0" t="n">
        <v>100</v>
      </c>
      <c r="F133" s="0" t="s">
        <v>31</v>
      </c>
      <c r="G133" s="8" t="n">
        <f aca="false">'Echo (tests 2, 3E)'!G197</f>
        <v>-0.00566040524363389</v>
      </c>
      <c r="H133" s="8" t="n">
        <f aca="false">'Echo (tests 2, 3E)'!H197</f>
        <v>0.00292793676726057</v>
      </c>
      <c r="I133" s="8" t="n">
        <f aca="false">'Echo (tests 2, 3E)'!G199</f>
        <v>-0.00306798235910144</v>
      </c>
      <c r="J133" s="8" t="n">
        <f aca="false">'Echo (tests 2, 3E)'!H199</f>
        <v>0.00284850834175084</v>
      </c>
      <c r="K133" s="9" t="n">
        <f aca="false">G133-I133</f>
        <v>-0.00259242288453246</v>
      </c>
      <c r="L133" s="9" t="n">
        <f aca="false">SQRT(H133^2+J133^2)</f>
        <v>0.00408494963079111</v>
      </c>
      <c r="M133" s="5" t="n">
        <f aca="false">K133/L133</f>
        <v>-0.634627870314866</v>
      </c>
      <c r="N133" s="0" t="str">
        <f aca="false">IF(OR(G133&gt;2*H133,I133&gt;2*J133),"yes","no")</f>
        <v>no</v>
      </c>
      <c r="O133" s="0" t="str">
        <f aca="false">IF(N133="no","NOT JUDGED",IF(K133&gt;2*L133,"WIN",IF(K133&lt;-2*L133,"LOSS","TIE")))</f>
        <v>NOT JUDGED</v>
      </c>
    </row>
    <row r="134" customFormat="false" ht="15" hidden="false" customHeight="false" outlineLevel="0" collapsed="false">
      <c r="A134" s="0" t="s">
        <v>33</v>
      </c>
      <c r="B134" s="0" t="s">
        <v>32</v>
      </c>
      <c r="C134" s="0" t="n">
        <v>72</v>
      </c>
      <c r="D134" s="0" t="n">
        <v>0.1</v>
      </c>
      <c r="E134" s="0" t="n">
        <v>24</v>
      </c>
      <c r="F134" s="0" t="s">
        <v>30</v>
      </c>
      <c r="G134" s="8" t="n">
        <f aca="false">'Echo (tests 2, 3E)'!G200</f>
        <v>0.215102704300281</v>
      </c>
      <c r="H134" s="8" t="n">
        <f aca="false">'Echo (tests 2, 3E)'!H200</f>
        <v>0.00447900690792647</v>
      </c>
      <c r="I134" s="8" t="n">
        <f aca="false">'Echo (tests 2, 3E)'!G201</f>
        <v>0.00425777265268107</v>
      </c>
      <c r="J134" s="8" t="n">
        <f aca="false">'Echo (tests 2, 3E)'!H201</f>
        <v>0.00288710634087494</v>
      </c>
      <c r="K134" s="9" t="n">
        <f aca="false">G134-I134</f>
        <v>0.2108449316476</v>
      </c>
      <c r="L134" s="9" t="n">
        <f aca="false">SQRT(H134^2+J134^2)</f>
        <v>0.00532887285500163</v>
      </c>
      <c r="M134" s="5" t="n">
        <f aca="false">K134/L134</f>
        <v>39.566515731315</v>
      </c>
      <c r="N134" s="0" t="str">
        <f aca="false">IF(OR(G134&gt;2*H134,I134&gt;2*J134),"yes","no")</f>
        <v>yes</v>
      </c>
      <c r="O134" s="0" t="str">
        <f aca="false">IF(N134="no","NOT JUDGED",IF(K134&gt;2*L134,"WIN",IF(K134&lt;-2*L134,"LOSS","TIE")))</f>
        <v>WIN</v>
      </c>
    </row>
    <row r="135" customFormat="false" ht="15" hidden="false" customHeight="false" outlineLevel="0" collapsed="false">
      <c r="A135" s="0" t="s">
        <v>33</v>
      </c>
      <c r="B135" s="0" t="s">
        <v>32</v>
      </c>
      <c r="C135" s="0" t="n">
        <v>72</v>
      </c>
      <c r="D135" s="0" t="n">
        <v>0.1</v>
      </c>
      <c r="E135" s="0" t="n">
        <v>24</v>
      </c>
      <c r="F135" s="0" t="s">
        <v>31</v>
      </c>
      <c r="G135" s="8" t="n">
        <f aca="false">'Echo (tests 2, 3E)'!G200</f>
        <v>0.215102704300281</v>
      </c>
      <c r="H135" s="8" t="n">
        <f aca="false">'Echo (tests 2, 3E)'!H200</f>
        <v>0.00447900690792647</v>
      </c>
      <c r="I135" s="8" t="n">
        <f aca="false">'Echo (tests 2, 3E)'!G202</f>
        <v>0.0018355898851655</v>
      </c>
      <c r="J135" s="8" t="n">
        <f aca="false">'Echo (tests 2, 3E)'!H202</f>
        <v>0.00286647496300873</v>
      </c>
      <c r="K135" s="9" t="n">
        <f aca="false">G135-I135</f>
        <v>0.213267114415115</v>
      </c>
      <c r="L135" s="9" t="n">
        <f aca="false">SQRT(H135^2+J135^2)</f>
        <v>0.00531772334696051</v>
      </c>
      <c r="M135" s="5" t="n">
        <f aca="false">K135/L135</f>
        <v>40.1049660729368</v>
      </c>
      <c r="N135" s="0" t="str">
        <f aca="false">IF(OR(G135&gt;2*H135,I135&gt;2*J135),"yes","no")</f>
        <v>yes</v>
      </c>
      <c r="O135" s="0" t="str">
        <f aca="false">IF(N135="no","NOT JUDGED",IF(K135&gt;2*L135,"WIN",IF(K135&lt;-2*L135,"LOSS","TIE")))</f>
        <v>WIN</v>
      </c>
    </row>
    <row r="136" customFormat="false" ht="15" hidden="false" customHeight="false" outlineLevel="0" collapsed="false">
      <c r="A136" s="0" t="s">
        <v>33</v>
      </c>
      <c r="B136" s="0" t="s">
        <v>32</v>
      </c>
      <c r="C136" s="0" t="n">
        <v>72</v>
      </c>
      <c r="D136" s="0" t="n">
        <v>0.1</v>
      </c>
      <c r="E136" s="0" t="n">
        <v>50</v>
      </c>
      <c r="F136" s="0" t="s">
        <v>30</v>
      </c>
      <c r="G136" s="8" t="n">
        <f aca="false">'Echo (tests 2, 3E)'!G203</f>
        <v>0.0126040498258457</v>
      </c>
      <c r="H136" s="8" t="n">
        <f aca="false">'Echo (tests 2, 3E)'!H203</f>
        <v>0.00320624304154672</v>
      </c>
      <c r="I136" s="8" t="n">
        <f aca="false">'Echo (tests 2, 3E)'!G204</f>
        <v>-0.000693696220093575</v>
      </c>
      <c r="J136" s="8" t="n">
        <f aca="false">'Echo (tests 2, 3E)'!H204</f>
        <v>0.00285336240996413</v>
      </c>
      <c r="K136" s="9" t="n">
        <f aca="false">G136-I136</f>
        <v>0.0132977460459393</v>
      </c>
      <c r="L136" s="9" t="n">
        <f aca="false">SQRT(H136^2+J136^2)</f>
        <v>0.00429204746992191</v>
      </c>
      <c r="M136" s="5" t="n">
        <f aca="false">K136/L136</f>
        <v>3.09822902452223</v>
      </c>
      <c r="N136" s="0" t="str">
        <f aca="false">IF(OR(G136&gt;2*H136,I136&gt;2*J136),"yes","no")</f>
        <v>yes</v>
      </c>
      <c r="O136" s="0" t="str">
        <f aca="false">IF(N136="no","NOT JUDGED",IF(K136&gt;2*L136,"WIN",IF(K136&lt;-2*L136,"LOSS","TIE")))</f>
        <v>WIN</v>
      </c>
    </row>
    <row r="137" customFormat="false" ht="15" hidden="false" customHeight="false" outlineLevel="0" collapsed="false">
      <c r="A137" s="0" t="s">
        <v>33</v>
      </c>
      <c r="B137" s="0" t="s">
        <v>32</v>
      </c>
      <c r="C137" s="0" t="n">
        <v>72</v>
      </c>
      <c r="D137" s="0" t="n">
        <v>0.1</v>
      </c>
      <c r="E137" s="0" t="n">
        <v>50</v>
      </c>
      <c r="F137" s="0" t="s">
        <v>31</v>
      </c>
      <c r="G137" s="8" t="n">
        <f aca="false">'Echo (tests 2, 3E)'!G203</f>
        <v>0.0126040498258457</v>
      </c>
      <c r="H137" s="8" t="n">
        <f aca="false">'Echo (tests 2, 3E)'!H203</f>
        <v>0.00320624304154672</v>
      </c>
      <c r="I137" s="8" t="n">
        <f aca="false">'Echo (tests 2, 3E)'!G205</f>
        <v>-0.0046810828316135</v>
      </c>
      <c r="J137" s="8" t="n">
        <f aca="false">'Echo (tests 2, 3E)'!H205</f>
        <v>0.00281968935989597</v>
      </c>
      <c r="K137" s="9" t="n">
        <f aca="false">G137-I137</f>
        <v>0.0172851326574592</v>
      </c>
      <c r="L137" s="9" t="n">
        <f aca="false">SQRT(H137^2+J137^2)</f>
        <v>0.00426973565080759</v>
      </c>
      <c r="M137" s="5" t="n">
        <f aca="false">K137/L137</f>
        <v>4.04829105853188</v>
      </c>
      <c r="N137" s="0" t="str">
        <f aca="false">IF(OR(G137&gt;2*H137,I137&gt;2*J137),"yes","no")</f>
        <v>yes</v>
      </c>
      <c r="O137" s="0" t="str">
        <f aca="false">IF(N137="no","NOT JUDGED",IF(K137&gt;2*L137,"WIN",IF(K137&lt;-2*L137,"LOSS","TIE")))</f>
        <v>WIN</v>
      </c>
    </row>
    <row r="138" customFormat="false" ht="15" hidden="false" customHeight="false" outlineLevel="0" collapsed="false">
      <c r="A138" s="0" t="s">
        <v>33</v>
      </c>
      <c r="B138" s="0" t="s">
        <v>32</v>
      </c>
      <c r="C138" s="0" t="n">
        <v>72</v>
      </c>
      <c r="D138" s="0" t="n">
        <v>0.1</v>
      </c>
      <c r="E138" s="0" t="n">
        <v>100</v>
      </c>
      <c r="F138" s="0" t="s">
        <v>30</v>
      </c>
      <c r="G138" s="8" t="n">
        <f aca="false">'Echo (tests 2, 3E)'!G206</f>
        <v>-0.000428683350825585</v>
      </c>
      <c r="H138" s="8" t="n">
        <f aca="false">'Echo (tests 2, 3E)'!H206</f>
        <v>0.00290206907306306</v>
      </c>
      <c r="I138" s="8" t="n">
        <f aca="false">'Echo (tests 2, 3E)'!G207</f>
        <v>-0.00696657526124657</v>
      </c>
      <c r="J138" s="8" t="n">
        <f aca="false">'Echo (tests 2, 3E)'!H207</f>
        <v>0.00284363951603979</v>
      </c>
      <c r="K138" s="9" t="n">
        <f aca="false">G138-I138</f>
        <v>0.00653789191042099</v>
      </c>
      <c r="L138" s="9" t="n">
        <f aca="false">SQRT(H138^2+J138^2)</f>
        <v>0.00406303957672235</v>
      </c>
      <c r="M138" s="5" t="n">
        <f aca="false">K138/L138</f>
        <v>1.60911351882403</v>
      </c>
      <c r="N138" s="0" t="str">
        <f aca="false">IF(OR(G138&gt;2*H138,I138&gt;2*J138),"yes","no")</f>
        <v>no</v>
      </c>
      <c r="O138" s="0" t="str">
        <f aca="false">IF(N138="no","NOT JUDGED",IF(K138&gt;2*L138,"WIN",IF(K138&lt;-2*L138,"LOSS","TIE")))</f>
        <v>NOT JUDGED</v>
      </c>
    </row>
    <row r="139" customFormat="false" ht="15" hidden="false" customHeight="false" outlineLevel="0" collapsed="false">
      <c r="A139" s="0" t="s">
        <v>33</v>
      </c>
      <c r="B139" s="0" t="s">
        <v>32</v>
      </c>
      <c r="C139" s="0" t="n">
        <v>72</v>
      </c>
      <c r="D139" s="0" t="n">
        <v>0.1</v>
      </c>
      <c r="E139" s="0" t="n">
        <v>100</v>
      </c>
      <c r="F139" s="0" t="s">
        <v>31</v>
      </c>
      <c r="G139" s="8" t="n">
        <f aca="false">'Echo (tests 2, 3E)'!G206</f>
        <v>-0.000428683350825585</v>
      </c>
      <c r="H139" s="8" t="n">
        <f aca="false">'Echo (tests 2, 3E)'!H206</f>
        <v>0.00290206907306306</v>
      </c>
      <c r="I139" s="8" t="n">
        <f aca="false">'Echo (tests 2, 3E)'!G208</f>
        <v>-0.000958461742630904</v>
      </c>
      <c r="J139" s="8" t="n">
        <f aca="false">'Echo (tests 2, 3E)'!H208</f>
        <v>0.00288619754833932</v>
      </c>
      <c r="K139" s="9" t="n">
        <f aca="false">G139-I139</f>
        <v>0.000529778391805318</v>
      </c>
      <c r="L139" s="9" t="n">
        <f aca="false">SQRT(H139^2+J139^2)</f>
        <v>0.00409293796591996</v>
      </c>
      <c r="M139" s="5" t="n">
        <f aca="false">K139/L139</f>
        <v>0.129437190648024</v>
      </c>
      <c r="N139" s="0" t="str">
        <f aca="false">IF(OR(G139&gt;2*H139,I139&gt;2*J139),"yes","no")</f>
        <v>no</v>
      </c>
      <c r="O139" s="0" t="str">
        <f aca="false">IF(N139="no","NOT JUDGED",IF(K139&gt;2*L139,"WIN",IF(K139&lt;-2*L139,"LOSS","TIE")))</f>
        <v>NOT JUDGED</v>
      </c>
    </row>
    <row r="140" customFormat="false" ht="15" hidden="false" customHeight="false" outlineLevel="0" collapsed="false">
      <c r="A140" s="0" t="s">
        <v>33</v>
      </c>
      <c r="B140" s="0" t="s">
        <v>32</v>
      </c>
      <c r="C140" s="0" t="n">
        <v>72</v>
      </c>
      <c r="D140" s="0" t="n">
        <v>0.3</v>
      </c>
      <c r="E140" s="0" t="n">
        <v>24</v>
      </c>
      <c r="F140" s="0" t="s">
        <v>30</v>
      </c>
      <c r="G140" s="8" t="n">
        <f aca="false">'Echo (tests 2, 3E)'!G209</f>
        <v>0.242855457575132</v>
      </c>
      <c r="H140" s="8" t="n">
        <f aca="false">'Echo (tests 2, 3E)'!H209</f>
        <v>0.00440060230102555</v>
      </c>
      <c r="I140" s="8" t="n">
        <f aca="false">'Echo (tests 2, 3E)'!G210</f>
        <v>0.00302658969778395</v>
      </c>
      <c r="J140" s="8" t="n">
        <f aca="false">'Echo (tests 2, 3E)'!H210</f>
        <v>0.00290322528347515</v>
      </c>
      <c r="K140" s="9" t="n">
        <f aca="false">G140-I140</f>
        <v>0.239828867877348</v>
      </c>
      <c r="L140" s="9" t="n">
        <f aca="false">SQRT(H140^2+J140^2)</f>
        <v>0.00527200319218423</v>
      </c>
      <c r="M140" s="5" t="n">
        <f aca="false">K140/L140</f>
        <v>45.4910323713186</v>
      </c>
      <c r="N140" s="0" t="str">
        <f aca="false">IF(OR(G140&gt;2*H140,I140&gt;2*J140),"yes","no")</f>
        <v>yes</v>
      </c>
      <c r="O140" s="0" t="str">
        <f aca="false">IF(N140="no","NOT JUDGED",IF(K140&gt;2*L140,"WIN",IF(K140&lt;-2*L140,"LOSS","TIE")))</f>
        <v>WIN</v>
      </c>
    </row>
    <row r="141" customFormat="false" ht="15" hidden="false" customHeight="false" outlineLevel="0" collapsed="false">
      <c r="A141" s="0" t="s">
        <v>33</v>
      </c>
      <c r="B141" s="0" t="s">
        <v>32</v>
      </c>
      <c r="C141" s="0" t="n">
        <v>72</v>
      </c>
      <c r="D141" s="0" t="n">
        <v>0.3</v>
      </c>
      <c r="E141" s="0" t="n">
        <v>24</v>
      </c>
      <c r="F141" s="0" t="s">
        <v>31</v>
      </c>
      <c r="G141" s="8" t="n">
        <f aca="false">'Echo (tests 2, 3E)'!G209</f>
        <v>0.242855457575132</v>
      </c>
      <c r="H141" s="8" t="n">
        <f aca="false">'Echo (tests 2, 3E)'!H209</f>
        <v>0.00440060230102555</v>
      </c>
      <c r="I141" s="8" t="n">
        <f aca="false">'Echo (tests 2, 3E)'!G211</f>
        <v>0.000764885855495411</v>
      </c>
      <c r="J141" s="8" t="n">
        <f aca="false">'Echo (tests 2, 3E)'!H211</f>
        <v>0.00277926677669322</v>
      </c>
      <c r="K141" s="9" t="n">
        <f aca="false">G141-I141</f>
        <v>0.242090571719637</v>
      </c>
      <c r="L141" s="9" t="n">
        <f aca="false">SQRT(H141^2+J141^2)</f>
        <v>0.00520476939237678</v>
      </c>
      <c r="M141" s="5" t="n">
        <f aca="false">K141/L141</f>
        <v>46.51321767958</v>
      </c>
      <c r="N141" s="0" t="str">
        <f aca="false">IF(OR(G141&gt;2*H141,I141&gt;2*J141),"yes","no")</f>
        <v>yes</v>
      </c>
      <c r="O141" s="0" t="str">
        <f aca="false">IF(N141="no","NOT JUDGED",IF(K141&gt;2*L141,"WIN",IF(K141&lt;-2*L141,"LOSS","TIE")))</f>
        <v>WIN</v>
      </c>
    </row>
    <row r="142" customFormat="false" ht="15" hidden="false" customHeight="false" outlineLevel="0" collapsed="false">
      <c r="A142" s="0" t="s">
        <v>33</v>
      </c>
      <c r="B142" s="0" t="s">
        <v>32</v>
      </c>
      <c r="C142" s="0" t="n">
        <v>72</v>
      </c>
      <c r="D142" s="0" t="n">
        <v>0.3</v>
      </c>
      <c r="E142" s="0" t="n">
        <v>50</v>
      </c>
      <c r="F142" s="0" t="s">
        <v>30</v>
      </c>
      <c r="G142" s="8" t="n">
        <f aca="false">'Echo (tests 2, 3E)'!G212</f>
        <v>0.00218517916992721</v>
      </c>
      <c r="H142" s="8" t="n">
        <f aca="false">'Echo (tests 2, 3E)'!H212</f>
        <v>0.00300169763998726</v>
      </c>
      <c r="I142" s="8" t="n">
        <f aca="false">'Echo (tests 2, 3E)'!G213</f>
        <v>-0.0010185554227005</v>
      </c>
      <c r="J142" s="8" t="n">
        <f aca="false">'Echo (tests 2, 3E)'!H213</f>
        <v>0.0028310647487013</v>
      </c>
      <c r="K142" s="9" t="n">
        <f aca="false">G142-I142</f>
        <v>0.00320373459262771</v>
      </c>
      <c r="L142" s="9" t="n">
        <f aca="false">SQRT(H142^2+J142^2)</f>
        <v>0.0041261503042478</v>
      </c>
      <c r="M142" s="5" t="n">
        <f aca="false">K142/L142</f>
        <v>0.776446410429964</v>
      </c>
      <c r="N142" s="0" t="str">
        <f aca="false">IF(OR(G142&gt;2*H142,I142&gt;2*J142),"yes","no")</f>
        <v>no</v>
      </c>
      <c r="O142" s="0" t="str">
        <f aca="false">IF(N142="no","NOT JUDGED",IF(K142&gt;2*L142,"WIN",IF(K142&lt;-2*L142,"LOSS","TIE")))</f>
        <v>NOT JUDGED</v>
      </c>
    </row>
    <row r="143" customFormat="false" ht="15" hidden="false" customHeight="false" outlineLevel="0" collapsed="false">
      <c r="A143" s="0" t="s">
        <v>33</v>
      </c>
      <c r="B143" s="0" t="s">
        <v>32</v>
      </c>
      <c r="C143" s="0" t="n">
        <v>72</v>
      </c>
      <c r="D143" s="0" t="n">
        <v>0.3</v>
      </c>
      <c r="E143" s="0" t="n">
        <v>50</v>
      </c>
      <c r="F143" s="0" t="s">
        <v>31</v>
      </c>
      <c r="G143" s="8" t="n">
        <f aca="false">'Echo (tests 2, 3E)'!G212</f>
        <v>0.00218517916992721</v>
      </c>
      <c r="H143" s="8" t="n">
        <f aca="false">'Echo (tests 2, 3E)'!H212</f>
        <v>0.00300169763998726</v>
      </c>
      <c r="I143" s="8" t="n">
        <f aca="false">'Echo (tests 2, 3E)'!G214</f>
        <v>-0.00352272894068605</v>
      </c>
      <c r="J143" s="8" t="n">
        <f aca="false">'Echo (tests 2, 3E)'!H214</f>
        <v>0.0027830296656331</v>
      </c>
      <c r="K143" s="9" t="n">
        <f aca="false">G143-I143</f>
        <v>0.00570790811061326</v>
      </c>
      <c r="L143" s="9" t="n">
        <f aca="false">SQRT(H143^2+J143^2)</f>
        <v>0.004093341280873</v>
      </c>
      <c r="M143" s="5" t="n">
        <f aca="false">K143/L143</f>
        <v>1.39443738475574</v>
      </c>
      <c r="N143" s="0" t="str">
        <f aca="false">IF(OR(G143&gt;2*H143,I143&gt;2*J143),"yes","no")</f>
        <v>no</v>
      </c>
      <c r="O143" s="0" t="str">
        <f aca="false">IF(N143="no","NOT JUDGED",IF(K143&gt;2*L143,"WIN",IF(K143&lt;-2*L143,"LOSS","TIE")))</f>
        <v>NOT JUDGED</v>
      </c>
    </row>
    <row r="144" customFormat="false" ht="15" hidden="false" customHeight="false" outlineLevel="0" collapsed="false">
      <c r="A144" s="0" t="s">
        <v>33</v>
      </c>
      <c r="B144" s="0" t="s">
        <v>32</v>
      </c>
      <c r="C144" s="0" t="n">
        <v>72</v>
      </c>
      <c r="D144" s="0" t="n">
        <v>0.3</v>
      </c>
      <c r="E144" s="0" t="n">
        <v>100</v>
      </c>
      <c r="F144" s="0" t="s">
        <v>30</v>
      </c>
      <c r="G144" s="8" t="n">
        <f aca="false">'Echo (tests 2, 3E)'!G215</f>
        <v>-0.00309258519406342</v>
      </c>
      <c r="H144" s="8" t="n">
        <f aca="false">'Echo (tests 2, 3E)'!H215</f>
        <v>0.00279704056176635</v>
      </c>
      <c r="I144" s="8" t="n">
        <f aca="false">'Echo (tests 2, 3E)'!G216</f>
        <v>0.000887744684628701</v>
      </c>
      <c r="J144" s="8" t="n">
        <f aca="false">'Echo (tests 2, 3E)'!H216</f>
        <v>0.00281082892622745</v>
      </c>
      <c r="K144" s="9" t="n">
        <f aca="false">G144-I144</f>
        <v>-0.00398032987869212</v>
      </c>
      <c r="L144" s="9" t="n">
        <f aca="false">SQRT(H144^2+J144^2)</f>
        <v>0.00396537452918172</v>
      </c>
      <c r="M144" s="5" t="n">
        <f aca="false">K144/L144</f>
        <v>-1.00377148473627</v>
      </c>
      <c r="N144" s="0" t="str">
        <f aca="false">IF(OR(G144&gt;2*H144,I144&gt;2*J144),"yes","no")</f>
        <v>no</v>
      </c>
      <c r="O144" s="0" t="str">
        <f aca="false">IF(N144="no","NOT JUDGED",IF(K144&gt;2*L144,"WIN",IF(K144&lt;-2*L144,"LOSS","TIE")))</f>
        <v>NOT JUDGED</v>
      </c>
    </row>
    <row r="145" customFormat="false" ht="15" hidden="false" customHeight="false" outlineLevel="0" collapsed="false">
      <c r="A145" s="0" t="s">
        <v>33</v>
      </c>
      <c r="B145" s="0" t="s">
        <v>32</v>
      </c>
      <c r="C145" s="0" t="n">
        <v>72</v>
      </c>
      <c r="D145" s="0" t="n">
        <v>0.3</v>
      </c>
      <c r="E145" s="0" t="n">
        <v>100</v>
      </c>
      <c r="F145" s="0" t="s">
        <v>31</v>
      </c>
      <c r="G145" s="8" t="n">
        <f aca="false">'Echo (tests 2, 3E)'!G215</f>
        <v>-0.00309258519406342</v>
      </c>
      <c r="H145" s="8" t="n">
        <f aca="false">'Echo (tests 2, 3E)'!H215</f>
        <v>0.00279704056176635</v>
      </c>
      <c r="I145" s="8" t="n">
        <f aca="false">'Echo (tests 2, 3E)'!G217</f>
        <v>-0.00381994631426802</v>
      </c>
      <c r="J145" s="8" t="n">
        <f aca="false">'Echo (tests 2, 3E)'!H217</f>
        <v>0.0028106459347131</v>
      </c>
      <c r="K145" s="9" t="n">
        <f aca="false">G145-I145</f>
        <v>0.000727361120204595</v>
      </c>
      <c r="L145" s="9" t="n">
        <f aca="false">SQRT(H145^2+J145^2)</f>
        <v>0.00396524481898476</v>
      </c>
      <c r="M145" s="5" t="n">
        <f aca="false">K145/L145</f>
        <v>0.183434101400787</v>
      </c>
      <c r="N145" s="0" t="str">
        <f aca="false">IF(OR(G145&gt;2*H145,I145&gt;2*J145),"yes","no")</f>
        <v>no</v>
      </c>
      <c r="O145" s="0" t="str">
        <f aca="false">IF(N145="no","NOT JUDGED",IF(K145&gt;2*L145,"WIN",IF(K145&lt;-2*L145,"LOSS","TIE")))</f>
        <v>NOT JUDGED</v>
      </c>
    </row>
    <row r="147" customFormat="false" ht="15" hidden="false" customHeight="false" outlineLevel="0" collapsed="false">
      <c r="A147" s="0" t="s">
        <v>45</v>
      </c>
      <c r="B147" s="0" t="n">
        <f aca="false">COUNTIF(O2:O145,"WIN")</f>
        <v>71</v>
      </c>
    </row>
    <row r="148" customFormat="false" ht="15" hidden="false" customHeight="false" outlineLevel="0" collapsed="false">
      <c r="A148" s="0" t="s">
        <v>46</v>
      </c>
      <c r="B148" s="0" t="n">
        <f aca="false">COUNTIF(O2:O145,"TIE")</f>
        <v>11</v>
      </c>
    </row>
    <row r="149" customFormat="false" ht="15" hidden="false" customHeight="false" outlineLevel="0" collapsed="false">
      <c r="A149" s="0" t="s">
        <v>47</v>
      </c>
      <c r="B149" s="0" t="n">
        <f aca="false">COUNTIF(O2:O145,"LOSS")</f>
        <v>0</v>
      </c>
    </row>
    <row r="150" customFormat="false" ht="15" hidden="false" customHeight="false" outlineLevel="0" collapsed="false">
      <c r="A150" s="0" t="s">
        <v>48</v>
      </c>
      <c r="B150" s="0" t="n">
        <f aca="false">COUNTIF(O2:O145,"NOT JUDGED")</f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"/>
    <col collapsed="false" customWidth="true" hidden="false" outlineLevel="0" max="3" min="3" style="0" width="4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13" min="6" style="0" width="9"/>
    <col collapsed="false" customWidth="true" hidden="false" outlineLevel="0" max="15" min="14" style="0" width="10"/>
    <col collapsed="false" customWidth="true" hidden="false" outlineLevel="0" max="16" min="16" style="0" width="11"/>
    <col collapsed="false" customWidth="true" hidden="false" outlineLevel="0" max="19" min="17" style="0" width="8"/>
    <col collapsed="false" customWidth="true" hidden="false" outlineLevel="0" max="20" min="20" style="0" width="9"/>
  </cols>
  <sheetData>
    <row r="1" customFormat="false" ht="35.05" hidden="false" customHeight="false" outlineLevel="0" collapsed="false">
      <c r="A1" s="3" t="s">
        <v>13</v>
      </c>
      <c r="B1" s="3" t="s">
        <v>15</v>
      </c>
      <c r="C1" s="3" t="s">
        <v>49</v>
      </c>
      <c r="D1" s="3" t="s">
        <v>50</v>
      </c>
      <c r="E1" s="3" t="s">
        <v>18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55</v>
      </c>
      <c r="K1" s="3" t="s">
        <v>56</v>
      </c>
      <c r="L1" s="3" t="s">
        <v>57</v>
      </c>
      <c r="M1" s="3" t="s">
        <v>58</v>
      </c>
      <c r="N1" s="3" t="s">
        <v>59</v>
      </c>
      <c r="O1" s="3" t="s">
        <v>60</v>
      </c>
      <c r="P1" s="3" t="s">
        <v>61</v>
      </c>
      <c r="Q1" s="3" t="s">
        <v>20</v>
      </c>
      <c r="R1" s="3" t="s">
        <v>21</v>
      </c>
      <c r="S1" s="3" t="s">
        <v>24</v>
      </c>
      <c r="T1" s="3" t="s">
        <v>25</v>
      </c>
    </row>
    <row r="2" customFormat="false" ht="15" hidden="false" customHeight="false" outlineLevel="0" collapsed="false">
      <c r="A2" s="0" t="s">
        <v>27</v>
      </c>
      <c r="B2" s="0" t="n">
        <v>20</v>
      </c>
      <c r="C2" s="0" t="n">
        <v>2</v>
      </c>
      <c r="D2" s="0" t="n">
        <f aca="false">B2*C2</f>
        <v>40</v>
      </c>
      <c r="E2" s="0" t="s">
        <v>29</v>
      </c>
      <c r="F2" s="4" t="n">
        <v>0.264</v>
      </c>
      <c r="G2" s="4" t="n">
        <v>0.25</v>
      </c>
      <c r="H2" s="4" t="n">
        <v>-0.336</v>
      </c>
      <c r="I2" s="4" t="n">
        <v>-0.296</v>
      </c>
      <c r="J2" s="4" t="n">
        <v>0.6</v>
      </c>
      <c r="K2" s="4" t="n">
        <v>0.564</v>
      </c>
      <c r="L2" s="4" t="n">
        <v>-0.538</v>
      </c>
      <c r="M2" s="4" t="n">
        <v>-0.588</v>
      </c>
      <c r="N2" s="9" t="n">
        <f aca="false">(F2+G2-H2-I2)/4</f>
        <v>0.2865</v>
      </c>
      <c r="O2" s="9" t="n">
        <f aca="false">(1*J2+1*K2-(1)*L2-(1)*M2)/4</f>
        <v>0.5725</v>
      </c>
      <c r="P2" s="9" t="n">
        <f aca="false">IF(O2&lt;&gt;0,N2/O2,"n/a")</f>
        <v>0.500436681222708</v>
      </c>
      <c r="Q2" s="4" t="n">
        <v>0.0287684606877812</v>
      </c>
      <c r="R2" s="5" t="n">
        <f aca="false">IF(ISNUMBER(P2),P2/Q2,"n/a")</f>
        <v>17.3953235334297</v>
      </c>
      <c r="S2" s="6" t="n">
        <v>40</v>
      </c>
      <c r="T2" s="7" t="n">
        <v>2.668</v>
      </c>
    </row>
    <row r="3" customFormat="false" ht="15" hidden="false" customHeight="false" outlineLevel="0" collapsed="false">
      <c r="A3" s="0" t="s">
        <v>27</v>
      </c>
      <c r="B3" s="0" t="n">
        <v>20</v>
      </c>
      <c r="C3" s="0" t="n">
        <v>4</v>
      </c>
      <c r="D3" s="0" t="n">
        <f aca="false">B3*C3</f>
        <v>80</v>
      </c>
      <c r="E3" s="0" t="s">
        <v>29</v>
      </c>
      <c r="F3" s="4" t="n">
        <v>0.21</v>
      </c>
      <c r="G3" s="4" t="n">
        <v>0.224</v>
      </c>
      <c r="H3" s="4" t="n">
        <v>-0.236</v>
      </c>
      <c r="I3" s="4" t="n">
        <v>-0.16</v>
      </c>
      <c r="J3" s="4" t="n">
        <v>0.55</v>
      </c>
      <c r="K3" s="4" t="n">
        <v>0.516</v>
      </c>
      <c r="L3" s="4" t="n">
        <v>-0.548</v>
      </c>
      <c r="M3" s="4" t="n">
        <v>-0.582</v>
      </c>
      <c r="N3" s="9" t="n">
        <f aca="false">(F3+G3-H3-I3)/4</f>
        <v>0.2075</v>
      </c>
      <c r="O3" s="9" t="n">
        <f aca="false">(1*J3+1*K3-(1)*L3-(1)*M3)/4</f>
        <v>0.549</v>
      </c>
      <c r="P3" s="9" t="n">
        <f aca="false">IF(O3&lt;&gt;0,N3/O3,"n/a")</f>
        <v>0.377959927140255</v>
      </c>
      <c r="Q3" s="4" t="n">
        <v>0.029593338360871</v>
      </c>
      <c r="R3" s="5" t="n">
        <f aca="false">IF(ISNUMBER(P3),P3/Q3,"n/a")</f>
        <v>12.7717908176254</v>
      </c>
      <c r="S3" s="6" t="n">
        <v>80</v>
      </c>
      <c r="T3" s="7" t="n">
        <v>3.092</v>
      </c>
    </row>
    <row r="4" customFormat="false" ht="15" hidden="false" customHeight="false" outlineLevel="0" collapsed="false">
      <c r="A4" s="0" t="s">
        <v>27</v>
      </c>
      <c r="B4" s="0" t="n">
        <v>20</v>
      </c>
      <c r="C4" s="0" t="n">
        <v>8</v>
      </c>
      <c r="D4" s="0" t="n">
        <f aca="false">B4*C4</f>
        <v>160</v>
      </c>
      <c r="E4" s="0" t="s">
        <v>29</v>
      </c>
      <c r="F4" s="4" t="n">
        <v>0.102</v>
      </c>
      <c r="G4" s="4" t="n">
        <v>0.068</v>
      </c>
      <c r="H4" s="4" t="n">
        <v>-0.112</v>
      </c>
      <c r="I4" s="4" t="n">
        <v>-0.046</v>
      </c>
      <c r="J4" s="4" t="n">
        <v>0.612</v>
      </c>
      <c r="K4" s="4" t="n">
        <v>0.596</v>
      </c>
      <c r="L4" s="4" t="n">
        <v>-0.546</v>
      </c>
      <c r="M4" s="4" t="n">
        <v>-0.554</v>
      </c>
      <c r="N4" s="9" t="n">
        <f aca="false">(F4+G4-H4-I4)/4</f>
        <v>0.082</v>
      </c>
      <c r="O4" s="9" t="n">
        <f aca="false">(1*J4+1*K4-(1)*L4-(1)*M4)/4</f>
        <v>0.577</v>
      </c>
      <c r="P4" s="9" t="n">
        <f aca="false">IF(O4&lt;&gt;0,N4/O4,"n/a")</f>
        <v>0.1421143847487</v>
      </c>
      <c r="Q4" s="4" t="n">
        <v>0.0274853156663734</v>
      </c>
      <c r="R4" s="5" t="n">
        <f aca="false">IF(ISNUMBER(P4),P4/Q4,"n/a")</f>
        <v>5.17055676106236</v>
      </c>
      <c r="S4" s="6" t="n">
        <v>160</v>
      </c>
      <c r="T4" s="7" t="n">
        <v>3.94</v>
      </c>
    </row>
    <row r="5" customFormat="false" ht="15" hidden="false" customHeight="false" outlineLevel="0" collapsed="false">
      <c r="A5" s="0" t="s">
        <v>27</v>
      </c>
      <c r="B5" s="0" t="n">
        <v>20</v>
      </c>
      <c r="C5" s="0" t="n">
        <v>2</v>
      </c>
      <c r="D5" s="0" t="n">
        <f aca="false">B5*C5</f>
        <v>40</v>
      </c>
      <c r="E5" s="0" t="s">
        <v>30</v>
      </c>
      <c r="F5" s="4" t="n">
        <v>0.23</v>
      </c>
      <c r="G5" s="4" t="n">
        <v>0.188</v>
      </c>
      <c r="H5" s="4" t="n">
        <v>-0.232</v>
      </c>
      <c r="I5" s="4" t="n">
        <v>-0.17</v>
      </c>
      <c r="J5" s="4" t="n">
        <v>0.572</v>
      </c>
      <c r="K5" s="4" t="n">
        <v>0.544</v>
      </c>
      <c r="L5" s="4" t="n">
        <v>-0.574</v>
      </c>
      <c r="M5" s="4" t="n">
        <v>-0.626</v>
      </c>
      <c r="N5" s="9" t="n">
        <f aca="false">(F5+G5-H5-I5)/4</f>
        <v>0.205</v>
      </c>
      <c r="O5" s="9" t="n">
        <f aca="false">(1*J5+1*K5-(1)*L5-(1)*M5)/4</f>
        <v>0.579</v>
      </c>
      <c r="P5" s="9" t="n">
        <f aca="false">IF(O5&lt;&gt;0,N5/O5,"n/a")</f>
        <v>0.35405872193437</v>
      </c>
      <c r="Q5" s="4" t="n">
        <v>0.0278553386346851</v>
      </c>
      <c r="R5" s="5" t="n">
        <f aca="false">IF(ISNUMBER(P5),P5/Q5,"n/a")</f>
        <v>12.7106235030114</v>
      </c>
      <c r="S5" s="6" t="n">
        <v>92</v>
      </c>
      <c r="T5" s="7" t="n">
        <v>3.292</v>
      </c>
    </row>
    <row r="6" customFormat="false" ht="15" hidden="false" customHeight="false" outlineLevel="0" collapsed="false">
      <c r="A6" s="0" t="s">
        <v>27</v>
      </c>
      <c r="B6" s="0" t="n">
        <v>20</v>
      </c>
      <c r="C6" s="0" t="n">
        <v>4</v>
      </c>
      <c r="D6" s="0" t="n">
        <f aca="false">B6*C6</f>
        <v>80</v>
      </c>
      <c r="E6" s="0" t="s">
        <v>30</v>
      </c>
      <c r="F6" s="4" t="n">
        <v>0.074</v>
      </c>
      <c r="G6" s="4" t="n">
        <v>0.06</v>
      </c>
      <c r="H6" s="4" t="n">
        <v>-0.078</v>
      </c>
      <c r="I6" s="4" t="n">
        <v>-0.076</v>
      </c>
      <c r="J6" s="4" t="n">
        <v>0.566</v>
      </c>
      <c r="K6" s="4" t="n">
        <v>0.564</v>
      </c>
      <c r="L6" s="4" t="n">
        <v>-0.546</v>
      </c>
      <c r="M6" s="4" t="n">
        <v>-0.59</v>
      </c>
      <c r="N6" s="9" t="n">
        <f aca="false">(F6+G6-H6-I6)/4</f>
        <v>0.072</v>
      </c>
      <c r="O6" s="9" t="n">
        <f aca="false">(1*J6+1*K6-(1)*L6-(1)*M6)/4</f>
        <v>0.5665</v>
      </c>
      <c r="P6" s="9" t="n">
        <f aca="false">IF(O6&lt;&gt;0,N6/O6,"n/a")</f>
        <v>0.127096204766108</v>
      </c>
      <c r="Q6" s="4" t="n">
        <v>0.0279905295343637</v>
      </c>
      <c r="R6" s="5" t="n">
        <f aca="false">IF(ISNUMBER(P6),P6/Q6,"n/a")</f>
        <v>4.54068597059134</v>
      </c>
      <c r="S6" s="6" t="n">
        <v>184</v>
      </c>
      <c r="T6" s="7" t="n">
        <v>4.34</v>
      </c>
    </row>
    <row r="7" customFormat="false" ht="15" hidden="false" customHeight="false" outlineLevel="0" collapsed="false">
      <c r="A7" s="0" t="s">
        <v>27</v>
      </c>
      <c r="B7" s="0" t="n">
        <v>20</v>
      </c>
      <c r="C7" s="0" t="n">
        <v>8</v>
      </c>
      <c r="D7" s="0" t="n">
        <f aca="false">B7*C7</f>
        <v>160</v>
      </c>
      <c r="E7" s="0" t="s">
        <v>30</v>
      </c>
      <c r="F7" s="4" t="n">
        <v>0.034</v>
      </c>
      <c r="G7" s="4" t="n">
        <v>0.02</v>
      </c>
      <c r="H7" s="4" t="n">
        <v>-0.036</v>
      </c>
      <c r="I7" s="4" t="n">
        <v>-0.004</v>
      </c>
      <c r="J7" s="4" t="n">
        <v>0.588</v>
      </c>
      <c r="K7" s="4" t="n">
        <v>0.546</v>
      </c>
      <c r="L7" s="4" t="n">
        <v>-0.58</v>
      </c>
      <c r="M7" s="4" t="n">
        <v>-0.544</v>
      </c>
      <c r="N7" s="9" t="n">
        <f aca="false">(F7+G7-H7-I7)/4</f>
        <v>0.0235</v>
      </c>
      <c r="O7" s="9" t="n">
        <f aca="false">(1*J7+1*K7-(1)*L7-(1)*M7)/4</f>
        <v>0.5645</v>
      </c>
      <c r="P7" s="9" t="n">
        <f aca="false">IF(O7&lt;&gt;0,N7/O7,"n/a")</f>
        <v>0.04162976085031</v>
      </c>
      <c r="Q7" s="4" t="n">
        <v>0.0280160303080973</v>
      </c>
      <c r="R7" s="5" t="n">
        <f aca="false">IF(ISNUMBER(P7),P7/Q7,"n/a")</f>
        <v>1.48592646397438</v>
      </c>
      <c r="S7" s="6" t="n">
        <v>368</v>
      </c>
      <c r="T7" s="7" t="n">
        <v>6.436</v>
      </c>
    </row>
    <row r="8" customFormat="false" ht="15" hidden="false" customHeight="false" outlineLevel="0" collapsed="false">
      <c r="A8" s="0" t="s">
        <v>27</v>
      </c>
      <c r="B8" s="0" t="n">
        <v>20</v>
      </c>
      <c r="C8" s="0" t="n">
        <v>2</v>
      </c>
      <c r="D8" s="0" t="n">
        <f aca="false">B8*C8</f>
        <v>40</v>
      </c>
      <c r="E8" s="0" t="s">
        <v>31</v>
      </c>
      <c r="F8" s="4" t="n">
        <v>0.038</v>
      </c>
      <c r="G8" s="4" t="n">
        <v>-0.02</v>
      </c>
      <c r="H8" s="4" t="n">
        <v>0.072</v>
      </c>
      <c r="I8" s="4" t="n">
        <v>0.058</v>
      </c>
      <c r="J8" s="4" t="n">
        <v>0.408</v>
      </c>
      <c r="K8" s="4" t="n">
        <v>0.518</v>
      </c>
      <c r="L8" s="4" t="n">
        <v>-0.424</v>
      </c>
      <c r="M8" s="4" t="n">
        <v>-0.5</v>
      </c>
      <c r="N8" s="9" t="n">
        <f aca="false">(F8+G8-H8-I8)/4</f>
        <v>-0.028</v>
      </c>
      <c r="O8" s="9" t="n">
        <f aca="false">(1*J8+1*K8-(1)*L8-(1)*M8)/4</f>
        <v>0.4625</v>
      </c>
      <c r="P8" s="9" t="n">
        <f aca="false">IF(O8&lt;&gt;0,N8/O8,"n/a")</f>
        <v>-0.0605405405405405</v>
      </c>
      <c r="Q8" s="4" t="n">
        <v>0.0341914852999169</v>
      </c>
      <c r="R8" s="5" t="n">
        <f aca="false">IF(ISNUMBER(P8),P8/Q8,"n/a")</f>
        <v>-1.77063207431611</v>
      </c>
      <c r="S8" s="6" t="n">
        <v>40</v>
      </c>
      <c r="T8" s="7" t="n">
        <v>5.196</v>
      </c>
    </row>
    <row r="9" customFormat="false" ht="15" hidden="false" customHeight="false" outlineLevel="0" collapsed="false">
      <c r="A9" s="0" t="s">
        <v>27</v>
      </c>
      <c r="B9" s="0" t="n">
        <v>20</v>
      </c>
      <c r="C9" s="0" t="n">
        <v>4</v>
      </c>
      <c r="D9" s="0" t="n">
        <f aca="false">B9*C9</f>
        <v>80</v>
      </c>
      <c r="E9" s="0" t="s">
        <v>31</v>
      </c>
      <c r="F9" s="4" t="n">
        <v>-0.02</v>
      </c>
      <c r="G9" s="4" t="n">
        <v>-0.012</v>
      </c>
      <c r="H9" s="4" t="n">
        <v>0.002</v>
      </c>
      <c r="I9" s="4" t="n">
        <v>0.036</v>
      </c>
      <c r="J9" s="4" t="n">
        <v>0.448</v>
      </c>
      <c r="K9" s="4" t="n">
        <v>0.532</v>
      </c>
      <c r="L9" s="4" t="n">
        <v>-0.418</v>
      </c>
      <c r="M9" s="4" t="n">
        <v>-0.5</v>
      </c>
      <c r="N9" s="9" t="n">
        <f aca="false">(F9+G9-H9-I9)/4</f>
        <v>-0.0175</v>
      </c>
      <c r="O9" s="9" t="n">
        <f aca="false">(1*J9+1*K9-(1)*L9-(1)*M9)/4</f>
        <v>0.4745</v>
      </c>
      <c r="P9" s="9" t="n">
        <f aca="false">IF(O9&lt;&gt;0,N9/O9,"n/a")</f>
        <v>-0.0368809272918862</v>
      </c>
      <c r="Q9" s="4" t="n">
        <v>0.0333320425916232</v>
      </c>
      <c r="R9" s="5" t="n">
        <f aca="false">IF(ISNUMBER(P9),P9/Q9,"n/a")</f>
        <v>-1.10647066379169</v>
      </c>
      <c r="S9" s="6" t="n">
        <v>80</v>
      </c>
      <c r="T9" s="7" t="n">
        <v>8.148</v>
      </c>
    </row>
    <row r="10" customFormat="false" ht="15" hidden="false" customHeight="false" outlineLevel="0" collapsed="false">
      <c r="A10" s="0" t="s">
        <v>27</v>
      </c>
      <c r="B10" s="0" t="n">
        <v>20</v>
      </c>
      <c r="C10" s="0" t="n">
        <v>8</v>
      </c>
      <c r="D10" s="0" t="n">
        <f aca="false">B10*C10</f>
        <v>160</v>
      </c>
      <c r="E10" s="0" t="s">
        <v>31</v>
      </c>
      <c r="F10" s="4" t="n">
        <v>0.032</v>
      </c>
      <c r="G10" s="4" t="n">
        <v>-0.036</v>
      </c>
      <c r="H10" s="4" t="n">
        <v>0.036</v>
      </c>
      <c r="I10" s="4" t="n">
        <v>0.034</v>
      </c>
      <c r="J10" s="4" t="n">
        <v>0.426</v>
      </c>
      <c r="K10" s="4" t="n">
        <v>0.502</v>
      </c>
      <c r="L10" s="4" t="n">
        <v>-0.478</v>
      </c>
      <c r="M10" s="4" t="n">
        <v>-0.482</v>
      </c>
      <c r="N10" s="9" t="n">
        <f aca="false">(F10+G10-H10-I10)/4</f>
        <v>-0.0185</v>
      </c>
      <c r="O10" s="9" t="n">
        <f aca="false">(1*J10+1*K10-(1)*L10-(1)*M10)/4</f>
        <v>0.472</v>
      </c>
      <c r="P10" s="9" t="n">
        <f aca="false">IF(O10&lt;&gt;0,N10/O10,"n/a")</f>
        <v>-0.0391949152542373</v>
      </c>
      <c r="Q10" s="4" t="n">
        <v>0.0334987003561442</v>
      </c>
      <c r="R10" s="5" t="n">
        <f aca="false">IF(ISNUMBER(P10),P10/Q10,"n/a")</f>
        <v>-1.17004286248521</v>
      </c>
      <c r="S10" s="6" t="n">
        <v>160</v>
      </c>
      <c r="T10" s="7" t="n">
        <v>14.052</v>
      </c>
    </row>
    <row r="11" customFormat="false" ht="15" hidden="false" customHeight="false" outlineLevel="0" collapsed="false">
      <c r="A11" s="0" t="s">
        <v>27</v>
      </c>
      <c r="B11" s="0" t="n">
        <v>36</v>
      </c>
      <c r="C11" s="0" t="n">
        <v>1</v>
      </c>
      <c r="D11" s="0" t="n">
        <f aca="false">B11*C11</f>
        <v>36</v>
      </c>
      <c r="E11" s="0" t="s">
        <v>29</v>
      </c>
      <c r="F11" s="4" t="n">
        <v>0.192</v>
      </c>
      <c r="G11" s="4" t="n">
        <v>0.172</v>
      </c>
      <c r="H11" s="4" t="n">
        <v>-0.176</v>
      </c>
      <c r="I11" s="4" t="n">
        <v>-0.144</v>
      </c>
      <c r="J11" s="4" t="n">
        <v>0.346</v>
      </c>
      <c r="K11" s="4" t="n">
        <v>0.268</v>
      </c>
      <c r="L11" s="4" t="n">
        <v>-0.296</v>
      </c>
      <c r="M11" s="4" t="n">
        <v>-0.35</v>
      </c>
      <c r="N11" s="9" t="n">
        <f aca="false">(F11+G11-H11-I11)/4</f>
        <v>0.171</v>
      </c>
      <c r="O11" s="9" t="n">
        <f aca="false">(1*J11+1*K11-(1)*L11-(1)*M11)/4</f>
        <v>0.315</v>
      </c>
      <c r="P11" s="9" t="n">
        <f aca="false">IF(O11&lt;&gt;0,N11/O11,"n/a")</f>
        <v>0.542857142857143</v>
      </c>
      <c r="Q11" s="4" t="n">
        <v>0.0557945536410189</v>
      </c>
      <c r="R11" s="5" t="n">
        <f aca="false">IF(ISNUMBER(P11),P11/Q11,"n/a")</f>
        <v>9.7295722867482</v>
      </c>
      <c r="S11" s="6" t="n">
        <v>36</v>
      </c>
      <c r="T11" s="7" t="n">
        <v>2.484</v>
      </c>
    </row>
    <row r="12" customFormat="false" ht="15" hidden="false" customHeight="false" outlineLevel="0" collapsed="false">
      <c r="A12" s="0" t="s">
        <v>27</v>
      </c>
      <c r="B12" s="0" t="n">
        <v>36</v>
      </c>
      <c r="C12" s="0" t="n">
        <v>2</v>
      </c>
      <c r="D12" s="0" t="n">
        <f aca="false">B12*C12</f>
        <v>72</v>
      </c>
      <c r="E12" s="0" t="s">
        <v>29</v>
      </c>
      <c r="F12" s="4" t="n">
        <v>0.186</v>
      </c>
      <c r="G12" s="4" t="n">
        <v>0.13</v>
      </c>
      <c r="H12" s="4" t="n">
        <v>-0.162</v>
      </c>
      <c r="I12" s="4" t="n">
        <v>-0.174</v>
      </c>
      <c r="J12" s="4" t="n">
        <v>0.298</v>
      </c>
      <c r="K12" s="4" t="n">
        <v>0.298</v>
      </c>
      <c r="L12" s="4" t="n">
        <v>-0.28</v>
      </c>
      <c r="M12" s="4" t="n">
        <v>-0.326</v>
      </c>
      <c r="N12" s="9" t="n">
        <f aca="false">(F12+G12-H12-I12)/4</f>
        <v>0.163</v>
      </c>
      <c r="O12" s="9" t="n">
        <f aca="false">(1*J12+1*K12-(1)*L12-(1)*M12)/4</f>
        <v>0.3005</v>
      </c>
      <c r="P12" s="9" t="n">
        <f aca="false">IF(O12&lt;&gt;0,N12/O12,"n/a")</f>
        <v>0.54242928452579</v>
      </c>
      <c r="Q12" s="4" t="n">
        <v>0.0586053639245095</v>
      </c>
      <c r="R12" s="5" t="n">
        <f aca="false">IF(ISNUMBER(P12),P12/Q12,"n/a")</f>
        <v>9.25562522271002</v>
      </c>
      <c r="S12" s="6" t="n">
        <v>72</v>
      </c>
      <c r="T12" s="7" t="n">
        <v>2.724</v>
      </c>
    </row>
    <row r="13" customFormat="false" ht="15" hidden="false" customHeight="false" outlineLevel="0" collapsed="false">
      <c r="A13" s="0" t="s">
        <v>27</v>
      </c>
      <c r="B13" s="0" t="n">
        <v>36</v>
      </c>
      <c r="C13" s="0" t="n">
        <v>4</v>
      </c>
      <c r="D13" s="0" t="n">
        <f aca="false">B13*C13</f>
        <v>144</v>
      </c>
      <c r="E13" s="0" t="s">
        <v>29</v>
      </c>
      <c r="F13" s="4" t="n">
        <v>0.15</v>
      </c>
      <c r="G13" s="4" t="n">
        <v>0.08</v>
      </c>
      <c r="H13" s="4" t="n">
        <v>-0.104</v>
      </c>
      <c r="I13" s="4" t="n">
        <v>-0.062</v>
      </c>
      <c r="J13" s="4" t="n">
        <v>0.27</v>
      </c>
      <c r="K13" s="4" t="n">
        <v>0.324</v>
      </c>
      <c r="L13" s="4" t="n">
        <v>-0.298</v>
      </c>
      <c r="M13" s="4" t="n">
        <v>-0.24</v>
      </c>
      <c r="N13" s="9" t="n">
        <f aca="false">(F13+G13-H13-I13)/4</f>
        <v>0.099</v>
      </c>
      <c r="O13" s="9" t="n">
        <f aca="false">(1*J13+1*K13-(1)*L13-(1)*M13)/4</f>
        <v>0.283</v>
      </c>
      <c r="P13" s="9" t="n">
        <f aca="false">IF(O13&lt;&gt;0,N13/O13,"n/a")</f>
        <v>0.34982332155477</v>
      </c>
      <c r="Q13" s="4" t="n">
        <v>0.0586392886515807</v>
      </c>
      <c r="R13" s="5" t="n">
        <f aca="false">IF(ISNUMBER(P13),P13/Q13,"n/a")</f>
        <v>5.9656815353496</v>
      </c>
      <c r="S13" s="6" t="n">
        <v>144</v>
      </c>
      <c r="T13" s="7" t="n">
        <v>3.204</v>
      </c>
    </row>
    <row r="14" customFormat="false" ht="15" hidden="false" customHeight="false" outlineLevel="0" collapsed="false">
      <c r="A14" s="0" t="s">
        <v>27</v>
      </c>
      <c r="B14" s="0" t="n">
        <v>36</v>
      </c>
      <c r="C14" s="0" t="n">
        <v>1</v>
      </c>
      <c r="D14" s="0" t="n">
        <f aca="false">B14*C14</f>
        <v>36</v>
      </c>
      <c r="E14" s="0" t="s">
        <v>30</v>
      </c>
      <c r="F14" s="4" t="n">
        <v>0.134</v>
      </c>
      <c r="G14" s="4" t="n">
        <v>0.144</v>
      </c>
      <c r="H14" s="4" t="n">
        <v>-0.146</v>
      </c>
      <c r="I14" s="4" t="n">
        <v>-0.11</v>
      </c>
      <c r="J14" s="4" t="n">
        <v>0.302</v>
      </c>
      <c r="K14" s="4" t="n">
        <v>0.282</v>
      </c>
      <c r="L14" s="4" t="n">
        <v>-0.244</v>
      </c>
      <c r="M14" s="4" t="n">
        <v>-0.29</v>
      </c>
      <c r="N14" s="9" t="n">
        <f aca="false">(F14+G14-H14-I14)/4</f>
        <v>0.1335</v>
      </c>
      <c r="O14" s="9" t="n">
        <f aca="false">(1*J14+1*K14-(1)*L14-(1)*M14)/4</f>
        <v>0.2795</v>
      </c>
      <c r="P14" s="9" t="n">
        <f aca="false">IF(O14&lt;&gt;0,N14/O14,"n/a")</f>
        <v>0.477638640429338</v>
      </c>
      <c r="Q14" s="4" t="n">
        <v>0.0617674221868149</v>
      </c>
      <c r="R14" s="5" t="n">
        <f aca="false">IF(ISNUMBER(P14),P14/Q14,"n/a")</f>
        <v>7.73285695790777</v>
      </c>
      <c r="S14" s="6" t="n">
        <v>86</v>
      </c>
      <c r="T14" s="7" t="n">
        <v>2.824</v>
      </c>
    </row>
    <row r="15" customFormat="false" ht="15" hidden="false" customHeight="false" outlineLevel="0" collapsed="false">
      <c r="A15" s="0" t="s">
        <v>27</v>
      </c>
      <c r="B15" s="0" t="n">
        <v>36</v>
      </c>
      <c r="C15" s="0" t="n">
        <v>2</v>
      </c>
      <c r="D15" s="0" t="n">
        <f aca="false">B15*C15</f>
        <v>72</v>
      </c>
      <c r="E15" s="0" t="s">
        <v>30</v>
      </c>
      <c r="F15" s="4" t="n">
        <v>0.104</v>
      </c>
      <c r="G15" s="4" t="n">
        <v>0.098</v>
      </c>
      <c r="H15" s="4" t="n">
        <v>-0.138</v>
      </c>
      <c r="I15" s="4" t="n">
        <v>-0.092</v>
      </c>
      <c r="J15" s="4" t="n">
        <v>0.286</v>
      </c>
      <c r="K15" s="4" t="n">
        <v>0.306</v>
      </c>
      <c r="L15" s="4" t="n">
        <v>-0.258</v>
      </c>
      <c r="M15" s="4" t="n">
        <v>-0.32</v>
      </c>
      <c r="N15" s="9" t="n">
        <f aca="false">(F15+G15-H15-I15)/4</f>
        <v>0.108</v>
      </c>
      <c r="O15" s="9" t="n">
        <f aca="false">(1*J15+1*K15-(1)*L15-(1)*M15)/4</f>
        <v>0.2925</v>
      </c>
      <c r="P15" s="9" t="n">
        <f aca="false">IF(O15&lt;&gt;0,N15/O15,"n/a")</f>
        <v>0.369230769230769</v>
      </c>
      <c r="Q15" s="4" t="n">
        <v>0.0570185121059103</v>
      </c>
      <c r="R15" s="5" t="n">
        <f aca="false">IF(ISNUMBER(P15),P15/Q15,"n/a")</f>
        <v>6.47562967874247</v>
      </c>
      <c r="S15" s="6" t="n">
        <v>172</v>
      </c>
      <c r="T15" s="7" t="n">
        <v>3.404</v>
      </c>
    </row>
    <row r="16" customFormat="false" ht="15" hidden="false" customHeight="false" outlineLevel="0" collapsed="false">
      <c r="A16" s="0" t="s">
        <v>27</v>
      </c>
      <c r="B16" s="0" t="n">
        <v>36</v>
      </c>
      <c r="C16" s="0" t="n">
        <v>4</v>
      </c>
      <c r="D16" s="0" t="n">
        <f aca="false">B16*C16</f>
        <v>144</v>
      </c>
      <c r="E16" s="0" t="s">
        <v>30</v>
      </c>
      <c r="F16" s="4" t="n">
        <v>0.104</v>
      </c>
      <c r="G16" s="4" t="n">
        <v>-0.024</v>
      </c>
      <c r="H16" s="4" t="n">
        <v>-0.02</v>
      </c>
      <c r="I16" s="4" t="n">
        <v>-0.044</v>
      </c>
      <c r="J16" s="4" t="n">
        <v>0.29</v>
      </c>
      <c r="K16" s="4" t="n">
        <v>0.266</v>
      </c>
      <c r="L16" s="4" t="n">
        <v>-0.222</v>
      </c>
      <c r="M16" s="4" t="n">
        <v>-0.332</v>
      </c>
      <c r="N16" s="9" t="n">
        <f aca="false">(F16+G16-H16-I16)/4</f>
        <v>0.036</v>
      </c>
      <c r="O16" s="9" t="n">
        <f aca="false">(1*J16+1*K16-(1)*L16-(1)*M16)/4</f>
        <v>0.2775</v>
      </c>
      <c r="P16" s="9" t="n">
        <f aca="false">IF(O16&lt;&gt;0,N16/O16,"n/a")</f>
        <v>0.12972972972973</v>
      </c>
      <c r="Q16" s="4" t="n">
        <v>0.057320951878116</v>
      </c>
      <c r="R16" s="5" t="n">
        <f aca="false">IF(ISNUMBER(P16),P16/Q16,"n/a")</f>
        <v>2.2632165984539</v>
      </c>
      <c r="S16" s="6" t="n">
        <v>344</v>
      </c>
      <c r="T16" s="7" t="n">
        <v>4.564</v>
      </c>
    </row>
    <row r="17" customFormat="false" ht="15" hidden="false" customHeight="false" outlineLevel="0" collapsed="false">
      <c r="A17" s="0" t="s">
        <v>27</v>
      </c>
      <c r="B17" s="0" t="n">
        <v>36</v>
      </c>
      <c r="C17" s="0" t="n">
        <v>1</v>
      </c>
      <c r="D17" s="0" t="n">
        <f aca="false">B17*C17</f>
        <v>36</v>
      </c>
      <c r="E17" s="0" t="s">
        <v>31</v>
      </c>
      <c r="F17" s="4" t="n">
        <v>-0.044</v>
      </c>
      <c r="G17" s="4" t="n">
        <v>0.05</v>
      </c>
      <c r="H17" s="4" t="n">
        <v>-0.028</v>
      </c>
      <c r="I17" s="4" t="n">
        <v>0.016</v>
      </c>
      <c r="J17" s="4" t="n">
        <v>0.334</v>
      </c>
      <c r="K17" s="4" t="n">
        <v>0.266</v>
      </c>
      <c r="L17" s="4" t="n">
        <v>-0.332</v>
      </c>
      <c r="M17" s="4" t="n">
        <v>-0.364</v>
      </c>
      <c r="N17" s="9" t="n">
        <f aca="false">(F17+G17-H17-I17)/4</f>
        <v>0.0045</v>
      </c>
      <c r="O17" s="9" t="n">
        <f aca="false">(1*J17+1*K17-(1)*L17-(1)*M17)/4</f>
        <v>0.324</v>
      </c>
      <c r="P17" s="9" t="n">
        <f aca="false">IF(O17&lt;&gt;0,N17/O17,"n/a")</f>
        <v>0.0138888888888889</v>
      </c>
      <c r="Q17" s="4" t="n">
        <v>0.0487713751441696</v>
      </c>
      <c r="R17" s="5" t="n">
        <f aca="false">IF(ISNUMBER(P17),P17/Q17,"n/a")</f>
        <v>0.284775420988908</v>
      </c>
      <c r="S17" s="6" t="n">
        <v>36</v>
      </c>
      <c r="T17" s="7" t="n">
        <v>4.82</v>
      </c>
    </row>
    <row r="18" customFormat="false" ht="15" hidden="false" customHeight="false" outlineLevel="0" collapsed="false">
      <c r="A18" s="0" t="s">
        <v>27</v>
      </c>
      <c r="B18" s="0" t="n">
        <v>36</v>
      </c>
      <c r="C18" s="0" t="n">
        <v>2</v>
      </c>
      <c r="D18" s="0" t="n">
        <f aca="false">B18*C18</f>
        <v>72</v>
      </c>
      <c r="E18" s="0" t="s">
        <v>31</v>
      </c>
      <c r="F18" s="4" t="n">
        <v>-0.004</v>
      </c>
      <c r="G18" s="4" t="n">
        <v>0.012</v>
      </c>
      <c r="H18" s="4" t="n">
        <v>0.046</v>
      </c>
      <c r="I18" s="4" t="n">
        <v>-0.02</v>
      </c>
      <c r="J18" s="4" t="n">
        <v>0.302</v>
      </c>
      <c r="K18" s="4" t="n">
        <v>0.328</v>
      </c>
      <c r="L18" s="4" t="n">
        <v>-0.322</v>
      </c>
      <c r="M18" s="4" t="n">
        <v>-0.31</v>
      </c>
      <c r="N18" s="9" t="n">
        <f aca="false">(F18+G18-H18-I18)/4</f>
        <v>-0.0045</v>
      </c>
      <c r="O18" s="9" t="n">
        <f aca="false">(1*J18+1*K18-(1)*L18-(1)*M18)/4</f>
        <v>0.3155</v>
      </c>
      <c r="P18" s="9" t="n">
        <f aca="false">IF(O18&lt;&gt;0,N18/O18,"n/a")</f>
        <v>-0.0142630744849445</v>
      </c>
      <c r="Q18" s="4" t="n">
        <v>0.05010315995717</v>
      </c>
      <c r="R18" s="5" t="n">
        <f aca="false">IF(ISNUMBER(P18),P18/Q18,"n/a")</f>
        <v>-0.284674150235976</v>
      </c>
      <c r="S18" s="6" t="n">
        <v>72</v>
      </c>
      <c r="T18" s="7" t="n">
        <v>7.396</v>
      </c>
    </row>
    <row r="19" customFormat="false" ht="15" hidden="false" customHeight="false" outlineLevel="0" collapsed="false">
      <c r="A19" s="0" t="s">
        <v>27</v>
      </c>
      <c r="B19" s="0" t="n">
        <v>36</v>
      </c>
      <c r="C19" s="0" t="n">
        <v>4</v>
      </c>
      <c r="D19" s="0" t="n">
        <f aca="false">B19*C19</f>
        <v>144</v>
      </c>
      <c r="E19" s="0" t="s">
        <v>31</v>
      </c>
      <c r="F19" s="4" t="n">
        <v>-0.028</v>
      </c>
      <c r="G19" s="4" t="n">
        <v>-0.022</v>
      </c>
      <c r="H19" s="4" t="n">
        <v>-0.012</v>
      </c>
      <c r="I19" s="4" t="n">
        <v>-0.048</v>
      </c>
      <c r="J19" s="4" t="n">
        <v>0.318</v>
      </c>
      <c r="K19" s="4" t="n">
        <v>0.306</v>
      </c>
      <c r="L19" s="4" t="n">
        <v>-0.354</v>
      </c>
      <c r="M19" s="4" t="n">
        <v>-0.246</v>
      </c>
      <c r="N19" s="9" t="n">
        <f aca="false">(F19+G19-H19-I19)/4</f>
        <v>0.0025</v>
      </c>
      <c r="O19" s="9" t="n">
        <f aca="false">(1*J19+1*K19-(1)*L19-(1)*M19)/4</f>
        <v>0.306</v>
      </c>
      <c r="P19" s="9" t="n">
        <f aca="false">IF(O19&lt;&gt;0,N19/O19,"n/a")</f>
        <v>0.00816993464052287</v>
      </c>
      <c r="Q19" s="4" t="n">
        <v>0.0516487578387775</v>
      </c>
      <c r="R19" s="5" t="n">
        <f aca="false">IF(ISNUMBER(P19),P19/Q19,"n/a")</f>
        <v>0.158182596879202</v>
      </c>
      <c r="S19" s="6" t="n">
        <v>144</v>
      </c>
      <c r="T19" s="7" t="n">
        <v>12.548</v>
      </c>
    </row>
    <row r="20" customFormat="false" ht="15" hidden="false" customHeight="false" outlineLevel="0" collapsed="false">
      <c r="A20" s="0" t="s">
        <v>27</v>
      </c>
      <c r="B20" s="0" t="n">
        <v>40</v>
      </c>
      <c r="C20" s="0" t="n">
        <v>1</v>
      </c>
      <c r="D20" s="0" t="n">
        <f aca="false">B20*C20</f>
        <v>40</v>
      </c>
      <c r="E20" s="0" t="s">
        <v>29</v>
      </c>
      <c r="F20" s="4" t="n">
        <v>-0.028</v>
      </c>
      <c r="G20" s="4" t="n">
        <v>-0.016</v>
      </c>
      <c r="H20" s="4" t="n">
        <v>0.034</v>
      </c>
      <c r="I20" s="4" t="n">
        <v>0</v>
      </c>
      <c r="J20" s="4" t="n">
        <v>0.258</v>
      </c>
      <c r="K20" s="4" t="n">
        <v>0.344</v>
      </c>
      <c r="L20" s="4" t="n">
        <v>-0.248</v>
      </c>
      <c r="M20" s="4" t="n">
        <v>-0.286</v>
      </c>
      <c r="N20" s="9" t="n">
        <f aca="false">(F20+G20-H20-I20)/4</f>
        <v>-0.0195</v>
      </c>
      <c r="O20" s="9" t="n">
        <f aca="false">(1*J20+1*K20-(1)*L20-(1)*M20)/4</f>
        <v>0.284</v>
      </c>
      <c r="P20" s="9" t="n">
        <f aca="false">IF(O20&lt;&gt;0,N20/O20,"n/a")</f>
        <v>-0.0686619718309859</v>
      </c>
      <c r="Q20" s="4" t="n">
        <v>0.0557789892301374</v>
      </c>
      <c r="R20" s="5" t="n">
        <f aca="false">IF(ISNUMBER(P20),P20/Q20,"n/a")</f>
        <v>-1.23096479119933</v>
      </c>
      <c r="S20" s="6" t="n">
        <v>40</v>
      </c>
      <c r="T20" s="7" t="n">
        <v>2.456</v>
      </c>
    </row>
    <row r="21" customFormat="false" ht="15" hidden="false" customHeight="false" outlineLevel="0" collapsed="false">
      <c r="A21" s="0" t="s">
        <v>27</v>
      </c>
      <c r="B21" s="0" t="n">
        <v>40</v>
      </c>
      <c r="C21" s="0" t="n">
        <v>2</v>
      </c>
      <c r="D21" s="0" t="n">
        <f aca="false">B21*C21</f>
        <v>80</v>
      </c>
      <c r="E21" s="0" t="s">
        <v>29</v>
      </c>
      <c r="F21" s="4" t="n">
        <v>-0.024</v>
      </c>
      <c r="G21" s="4" t="n">
        <v>0.042</v>
      </c>
      <c r="H21" s="4" t="n">
        <v>-0.058</v>
      </c>
      <c r="I21" s="4" t="n">
        <v>-0.018</v>
      </c>
      <c r="J21" s="4" t="n">
        <v>0.248</v>
      </c>
      <c r="K21" s="4" t="n">
        <v>0.288</v>
      </c>
      <c r="L21" s="4" t="n">
        <v>-0.232</v>
      </c>
      <c r="M21" s="4" t="n">
        <v>-0.32</v>
      </c>
      <c r="N21" s="9" t="n">
        <f aca="false">(F21+G21-H21-I21)/4</f>
        <v>0.0235</v>
      </c>
      <c r="O21" s="9" t="n">
        <f aca="false">(1*J21+1*K21-(1)*L21-(1)*M21)/4</f>
        <v>0.272</v>
      </c>
      <c r="P21" s="9" t="n">
        <f aca="false">IF(O21&lt;&gt;0,N21/O21,"n/a")</f>
        <v>0.0863970588235294</v>
      </c>
      <c r="Q21" s="4" t="n">
        <v>0.0582867386136505</v>
      </c>
      <c r="R21" s="5" t="n">
        <f aca="false">IF(ISNUMBER(P21),P21/Q21,"n/a")</f>
        <v>1.48227642991326</v>
      </c>
      <c r="S21" s="6" t="n">
        <v>80</v>
      </c>
      <c r="T21" s="7" t="n">
        <v>2.668</v>
      </c>
    </row>
    <row r="22" customFormat="false" ht="15" hidden="false" customHeight="false" outlineLevel="0" collapsed="false">
      <c r="A22" s="0" t="s">
        <v>27</v>
      </c>
      <c r="B22" s="0" t="n">
        <v>40</v>
      </c>
      <c r="C22" s="0" t="n">
        <v>4</v>
      </c>
      <c r="D22" s="0" t="n">
        <f aca="false">B22*C22</f>
        <v>160</v>
      </c>
      <c r="E22" s="0" t="s">
        <v>29</v>
      </c>
      <c r="F22" s="4" t="n">
        <v>0.046</v>
      </c>
      <c r="G22" s="4" t="n">
        <v>0.016</v>
      </c>
      <c r="H22" s="4" t="n">
        <v>-0.014</v>
      </c>
      <c r="I22" s="4" t="n">
        <v>-0.008</v>
      </c>
      <c r="J22" s="4" t="n">
        <v>0.2</v>
      </c>
      <c r="K22" s="4" t="n">
        <v>0.282</v>
      </c>
      <c r="L22" s="4" t="n">
        <v>-0.21</v>
      </c>
      <c r="M22" s="4" t="n">
        <v>-0.26</v>
      </c>
      <c r="N22" s="9" t="n">
        <f aca="false">(F22+G22-H22-I22)/4</f>
        <v>0.021</v>
      </c>
      <c r="O22" s="9" t="n">
        <f aca="false">(1*J22+1*K22-(1)*L22-(1)*M22)/4</f>
        <v>0.238</v>
      </c>
      <c r="P22" s="9" t="n">
        <f aca="false">IF(O22&lt;&gt;0,N22/O22,"n/a")</f>
        <v>0.0882352941176471</v>
      </c>
      <c r="Q22" s="4" t="n">
        <v>0.066655840809656</v>
      </c>
      <c r="R22" s="5" t="n">
        <f aca="false">IF(ISNUMBER(P22),P22/Q22,"n/a")</f>
        <v>1.32374437177402</v>
      </c>
      <c r="S22" s="6" t="n">
        <v>160</v>
      </c>
      <c r="T22" s="7" t="n">
        <v>3.092</v>
      </c>
    </row>
    <row r="23" customFormat="false" ht="15" hidden="false" customHeight="false" outlineLevel="0" collapsed="false">
      <c r="A23" s="0" t="s">
        <v>27</v>
      </c>
      <c r="B23" s="0" t="n">
        <v>40</v>
      </c>
      <c r="C23" s="0" t="n">
        <v>1</v>
      </c>
      <c r="D23" s="0" t="n">
        <f aca="false">B23*C23</f>
        <v>40</v>
      </c>
      <c r="E23" s="0" t="s">
        <v>30</v>
      </c>
      <c r="F23" s="4" t="n">
        <v>0.012</v>
      </c>
      <c r="G23" s="4" t="n">
        <v>0.044</v>
      </c>
      <c r="H23" s="4" t="n">
        <v>-0.038</v>
      </c>
      <c r="I23" s="4" t="n">
        <v>-0.028</v>
      </c>
      <c r="J23" s="4" t="n">
        <v>0.29</v>
      </c>
      <c r="K23" s="4" t="n">
        <v>0.202</v>
      </c>
      <c r="L23" s="4" t="n">
        <v>-0.368</v>
      </c>
      <c r="M23" s="4" t="n">
        <v>-0.262</v>
      </c>
      <c r="N23" s="9" t="n">
        <f aca="false">(F23+G23-H23-I23)/4</f>
        <v>0.0305</v>
      </c>
      <c r="O23" s="9" t="n">
        <f aca="false">(1*J23+1*K23-(1)*L23-(1)*M23)/4</f>
        <v>0.2805</v>
      </c>
      <c r="P23" s="9" t="n">
        <f aca="false">IF(O23&lt;&gt;0,N23/O23,"n/a")</f>
        <v>0.10873440285205</v>
      </c>
      <c r="Q23" s="4" t="n">
        <v>0.0566433834884319</v>
      </c>
      <c r="R23" s="5" t="n">
        <f aca="false">IF(ISNUMBER(P23),P23/Q23,"n/a")</f>
        <v>1.91963114057719</v>
      </c>
      <c r="S23" s="6" t="n">
        <v>96</v>
      </c>
      <c r="T23" s="7" t="n">
        <v>2.768</v>
      </c>
    </row>
    <row r="24" customFormat="false" ht="15" hidden="false" customHeight="false" outlineLevel="0" collapsed="false">
      <c r="A24" s="0" t="s">
        <v>27</v>
      </c>
      <c r="B24" s="0" t="n">
        <v>40</v>
      </c>
      <c r="C24" s="0" t="n">
        <v>2</v>
      </c>
      <c r="D24" s="0" t="n">
        <f aca="false">B24*C24</f>
        <v>80</v>
      </c>
      <c r="E24" s="0" t="s">
        <v>30</v>
      </c>
      <c r="F24" s="4" t="n">
        <v>0.03</v>
      </c>
      <c r="G24" s="4" t="n">
        <v>0.07</v>
      </c>
      <c r="H24" s="4" t="n">
        <v>-0.018</v>
      </c>
      <c r="I24" s="4" t="n">
        <v>-0.006</v>
      </c>
      <c r="J24" s="4" t="n">
        <v>0.344</v>
      </c>
      <c r="K24" s="4" t="n">
        <v>0.276</v>
      </c>
      <c r="L24" s="4" t="n">
        <v>-0.212</v>
      </c>
      <c r="M24" s="4" t="n">
        <v>-0.308</v>
      </c>
      <c r="N24" s="9" t="n">
        <f aca="false">(F24+G24-H24-I24)/4</f>
        <v>0.031</v>
      </c>
      <c r="O24" s="9" t="n">
        <f aca="false">(1*J24+1*K24-(1)*L24-(1)*M24)/4</f>
        <v>0.285</v>
      </c>
      <c r="P24" s="9" t="n">
        <f aca="false">IF(O24&lt;&gt;0,N24/O24,"n/a")</f>
        <v>0.108771929824561</v>
      </c>
      <c r="Q24" s="4" t="n">
        <v>0.0557360019023753</v>
      </c>
      <c r="R24" s="5" t="n">
        <f aca="false">IF(ISNUMBER(P24),P24/Q24,"n/a")</f>
        <v>1.95155601607524</v>
      </c>
      <c r="S24" s="6" t="n">
        <v>192</v>
      </c>
      <c r="T24" s="7" t="n">
        <v>3.292</v>
      </c>
    </row>
    <row r="25" customFormat="false" ht="15" hidden="false" customHeight="false" outlineLevel="0" collapsed="false">
      <c r="A25" s="0" t="s">
        <v>27</v>
      </c>
      <c r="B25" s="0" t="n">
        <v>40</v>
      </c>
      <c r="C25" s="0" t="n">
        <v>4</v>
      </c>
      <c r="D25" s="0" t="n">
        <f aca="false">B25*C25</f>
        <v>160</v>
      </c>
      <c r="E25" s="0" t="s">
        <v>30</v>
      </c>
      <c r="F25" s="4" t="n">
        <v>0.01</v>
      </c>
      <c r="G25" s="4" t="n">
        <v>0.022</v>
      </c>
      <c r="H25" s="4" t="n">
        <v>0.002</v>
      </c>
      <c r="I25" s="4" t="n">
        <v>0.018</v>
      </c>
      <c r="J25" s="4" t="n">
        <v>0.238</v>
      </c>
      <c r="K25" s="4" t="n">
        <v>0.296</v>
      </c>
      <c r="L25" s="4" t="n">
        <v>-0.304</v>
      </c>
      <c r="M25" s="4" t="n">
        <v>-0.274</v>
      </c>
      <c r="N25" s="9" t="n">
        <f aca="false">(F25+G25-H25-I25)/4</f>
        <v>0.003</v>
      </c>
      <c r="O25" s="9" t="n">
        <f aca="false">(1*J25+1*K25-(1)*L25-(1)*M25)/4</f>
        <v>0.278</v>
      </c>
      <c r="P25" s="9" t="n">
        <f aca="false">IF(O25&lt;&gt;0,N25/O25,"n/a")</f>
        <v>0.0107913669064748</v>
      </c>
      <c r="Q25" s="4" t="n">
        <v>0.0568720671475148</v>
      </c>
      <c r="R25" s="5" t="n">
        <f aca="false">IF(ISNUMBER(P25),P25/Q25,"n/a")</f>
        <v>0.189748103906337</v>
      </c>
      <c r="S25" s="6" t="n">
        <v>384</v>
      </c>
      <c r="T25" s="7" t="n">
        <v>4.34</v>
      </c>
    </row>
    <row r="26" customFormat="false" ht="15" hidden="false" customHeight="false" outlineLevel="0" collapsed="false">
      <c r="A26" s="0" t="s">
        <v>27</v>
      </c>
      <c r="B26" s="0" t="n">
        <v>40</v>
      </c>
      <c r="C26" s="0" t="n">
        <v>1</v>
      </c>
      <c r="D26" s="0" t="n">
        <f aca="false">B26*C26</f>
        <v>40</v>
      </c>
      <c r="E26" s="0" t="s">
        <v>31</v>
      </c>
      <c r="F26" s="4" t="n">
        <v>0.012</v>
      </c>
      <c r="G26" s="4" t="n">
        <v>0.002</v>
      </c>
      <c r="H26" s="4" t="n">
        <v>-0.03</v>
      </c>
      <c r="I26" s="4" t="n">
        <v>-0.028</v>
      </c>
      <c r="J26" s="4" t="n">
        <v>0.284</v>
      </c>
      <c r="K26" s="4" t="n">
        <v>0.282</v>
      </c>
      <c r="L26" s="4" t="n">
        <v>-0.266</v>
      </c>
      <c r="M26" s="4" t="n">
        <v>-0.228</v>
      </c>
      <c r="N26" s="9" t="n">
        <f aca="false">(F26+G26-H26-I26)/4</f>
        <v>0.018</v>
      </c>
      <c r="O26" s="9" t="n">
        <f aca="false">(1*J26+1*K26-(1)*L26-(1)*M26)/4</f>
        <v>0.265</v>
      </c>
      <c r="P26" s="9" t="n">
        <f aca="false">IF(O26&lt;&gt;0,N26/O26,"n/a")</f>
        <v>0.0679245283018868</v>
      </c>
      <c r="Q26" s="4" t="n">
        <v>0.0597797491701172</v>
      </c>
      <c r="R26" s="5" t="n">
        <f aca="false">IF(ISNUMBER(P26),P26/Q26,"n/a")</f>
        <v>1.13624645878978</v>
      </c>
      <c r="S26" s="6" t="n">
        <v>40</v>
      </c>
      <c r="T26" s="7" t="n">
        <v>5.08</v>
      </c>
    </row>
    <row r="27" customFormat="false" ht="15" hidden="false" customHeight="false" outlineLevel="0" collapsed="false">
      <c r="A27" s="0" t="s">
        <v>27</v>
      </c>
      <c r="B27" s="0" t="n">
        <v>40</v>
      </c>
      <c r="C27" s="0" t="n">
        <v>2</v>
      </c>
      <c r="D27" s="0" t="n">
        <f aca="false">B27*C27</f>
        <v>80</v>
      </c>
      <c r="E27" s="0" t="s">
        <v>31</v>
      </c>
      <c r="F27" s="4" t="n">
        <v>0.04</v>
      </c>
      <c r="G27" s="4" t="n">
        <v>0.016</v>
      </c>
      <c r="H27" s="4" t="n">
        <v>-0.004</v>
      </c>
      <c r="I27" s="4" t="n">
        <v>0.008</v>
      </c>
      <c r="J27" s="4" t="n">
        <v>0.294</v>
      </c>
      <c r="K27" s="4" t="n">
        <v>0.236</v>
      </c>
      <c r="L27" s="4" t="n">
        <v>-0.236</v>
      </c>
      <c r="M27" s="4" t="n">
        <v>-0.248</v>
      </c>
      <c r="N27" s="9" t="n">
        <f aca="false">(F27+G27-H27-I27)/4</f>
        <v>0.013</v>
      </c>
      <c r="O27" s="9" t="n">
        <f aca="false">(1*J27+1*K27-(1)*L27-(1)*M27)/4</f>
        <v>0.2535</v>
      </c>
      <c r="P27" s="9" t="n">
        <f aca="false">IF(O27&lt;&gt;0,N27/O27,"n/a")</f>
        <v>0.0512820512820513</v>
      </c>
      <c r="Q27" s="4" t="n">
        <v>0.0624339135778095</v>
      </c>
      <c r="R27" s="5" t="n">
        <f aca="false">IF(ISNUMBER(P27),P27/Q27,"n/a")</f>
        <v>0.821381334971739</v>
      </c>
      <c r="S27" s="6" t="n">
        <v>80</v>
      </c>
      <c r="T27" s="7" t="n">
        <v>7.916</v>
      </c>
    </row>
    <row r="28" customFormat="false" ht="15" hidden="false" customHeight="false" outlineLevel="0" collapsed="false">
      <c r="A28" s="0" t="s">
        <v>27</v>
      </c>
      <c r="B28" s="0" t="n">
        <v>40</v>
      </c>
      <c r="C28" s="0" t="n">
        <v>4</v>
      </c>
      <c r="D28" s="0" t="n">
        <f aca="false">B28*C28</f>
        <v>160</v>
      </c>
      <c r="E28" s="0" t="s">
        <v>31</v>
      </c>
      <c r="F28" s="4" t="n">
        <v>0.022</v>
      </c>
      <c r="G28" s="4" t="n">
        <v>-0.034</v>
      </c>
      <c r="H28" s="4" t="n">
        <v>0.008</v>
      </c>
      <c r="I28" s="4" t="n">
        <v>0.044</v>
      </c>
      <c r="J28" s="4" t="n">
        <v>0.308</v>
      </c>
      <c r="K28" s="4" t="n">
        <v>0.256</v>
      </c>
      <c r="L28" s="4" t="n">
        <v>-0.24</v>
      </c>
      <c r="M28" s="4" t="n">
        <v>-0.268</v>
      </c>
      <c r="N28" s="9" t="n">
        <f aca="false">(F28+G28-H28-I28)/4</f>
        <v>-0.016</v>
      </c>
      <c r="O28" s="9" t="n">
        <f aca="false">(1*J28+1*K28-(1)*L28-(1)*M28)/4</f>
        <v>0.268</v>
      </c>
      <c r="P28" s="9" t="n">
        <f aca="false">IF(O28&lt;&gt;0,N28/O28,"n/a")</f>
        <v>-0.0597014925373134</v>
      </c>
      <c r="Q28" s="4" t="n">
        <v>0.0590683549792774</v>
      </c>
      <c r="R28" s="5" t="n">
        <f aca="false">IF(ISNUMBER(P28),P28/Q28,"n/a")</f>
        <v>-1.0107187267744</v>
      </c>
      <c r="S28" s="6" t="n">
        <v>160</v>
      </c>
      <c r="T28" s="7" t="n">
        <v>13.588</v>
      </c>
    </row>
    <row r="29" customFormat="false" ht="15" hidden="false" customHeight="false" outlineLevel="0" collapsed="false">
      <c r="A29" s="0" t="s">
        <v>27</v>
      </c>
      <c r="B29" s="0" t="n">
        <v>72</v>
      </c>
      <c r="C29" s="0" t="n">
        <v>1</v>
      </c>
      <c r="D29" s="0" t="n">
        <f aca="false">B29*C29</f>
        <v>72</v>
      </c>
      <c r="E29" s="0" t="s">
        <v>29</v>
      </c>
      <c r="F29" s="4" t="n">
        <v>0.012</v>
      </c>
      <c r="G29" s="4" t="n">
        <v>-0.018</v>
      </c>
      <c r="H29" s="4" t="n">
        <v>-0.034</v>
      </c>
      <c r="I29" s="4" t="n">
        <v>-0.024</v>
      </c>
      <c r="J29" s="4" t="n">
        <v>0.102</v>
      </c>
      <c r="K29" s="4" t="n">
        <v>0.138</v>
      </c>
      <c r="L29" s="4" t="n">
        <v>-0.154</v>
      </c>
      <c r="M29" s="4" t="n">
        <v>-0.144</v>
      </c>
      <c r="N29" s="9" t="n">
        <f aca="false">(F29+G29-H29-I29)/4</f>
        <v>0.013</v>
      </c>
      <c r="O29" s="9" t="n">
        <f aca="false">(1*J29+1*K29-(1)*L29-(1)*M29)/4</f>
        <v>0.1345</v>
      </c>
      <c r="P29" s="9" t="n">
        <f aca="false">IF(O29&lt;&gt;0,N29/O29,"n/a")</f>
        <v>0.0966542750929368</v>
      </c>
      <c r="Q29" s="4" t="n">
        <v>0.118062340990682</v>
      </c>
      <c r="R29" s="5" t="n">
        <f aca="false">IF(ISNUMBER(P29),P29/Q29,"n/a")</f>
        <v>0.818671511016079</v>
      </c>
      <c r="S29" s="6" t="n">
        <v>72</v>
      </c>
      <c r="T29" s="7" t="n">
        <v>2.456</v>
      </c>
    </row>
    <row r="30" customFormat="false" ht="15" hidden="false" customHeight="false" outlineLevel="0" collapsed="false">
      <c r="A30" s="0" t="s">
        <v>27</v>
      </c>
      <c r="B30" s="0" t="n">
        <v>72</v>
      </c>
      <c r="C30" s="0" t="n">
        <v>2</v>
      </c>
      <c r="D30" s="0" t="n">
        <f aca="false">B30*C30</f>
        <v>144</v>
      </c>
      <c r="E30" s="0" t="s">
        <v>29</v>
      </c>
      <c r="F30" s="4" t="n">
        <v>-0.02</v>
      </c>
      <c r="G30" s="4" t="n">
        <v>-0.006</v>
      </c>
      <c r="H30" s="4" t="n">
        <v>0.03</v>
      </c>
      <c r="I30" s="4" t="n">
        <v>0.026</v>
      </c>
      <c r="J30" s="4" t="n">
        <v>0.164</v>
      </c>
      <c r="K30" s="4" t="n">
        <v>0.2</v>
      </c>
      <c r="L30" s="4" t="n">
        <v>-0.052</v>
      </c>
      <c r="M30" s="4" t="n">
        <v>-0.158</v>
      </c>
      <c r="N30" s="9" t="n">
        <f aca="false">(F30+G30-H30-I30)/4</f>
        <v>-0.0205</v>
      </c>
      <c r="O30" s="9" t="n">
        <f aca="false">(1*J30+1*K30-(1)*L30-(1)*M30)/4</f>
        <v>0.1435</v>
      </c>
      <c r="P30" s="9" t="n">
        <f aca="false">IF(O30&lt;&gt;0,N30/O30,"n/a")</f>
        <v>-0.142857142857143</v>
      </c>
      <c r="Q30" s="4" t="n">
        <v>0.1112487787045</v>
      </c>
      <c r="R30" s="5" t="n">
        <f aca="false">IF(ISNUMBER(P30),P30/Q30,"n/a")</f>
        <v>-1.28412324630189</v>
      </c>
      <c r="S30" s="6" t="n">
        <v>144</v>
      </c>
      <c r="T30" s="7" t="n">
        <v>2.668</v>
      </c>
    </row>
    <row r="31" customFormat="false" ht="15" hidden="false" customHeight="false" outlineLevel="0" collapsed="false">
      <c r="A31" s="0" t="s">
        <v>27</v>
      </c>
      <c r="B31" s="0" t="n">
        <v>72</v>
      </c>
      <c r="C31" s="0" t="n">
        <v>4</v>
      </c>
      <c r="D31" s="0" t="n">
        <f aca="false">B31*C31</f>
        <v>288</v>
      </c>
      <c r="E31" s="0" t="s">
        <v>29</v>
      </c>
      <c r="F31" s="4" t="n">
        <v>-0.008</v>
      </c>
      <c r="G31" s="4" t="n">
        <v>0.006</v>
      </c>
      <c r="H31" s="4" t="n">
        <v>0.026</v>
      </c>
      <c r="I31" s="4" t="n">
        <v>-0.008</v>
      </c>
      <c r="J31" s="4" t="n">
        <v>0.16</v>
      </c>
      <c r="K31" s="4" t="n">
        <v>0.202</v>
      </c>
      <c r="L31" s="4" t="n">
        <v>-0.148</v>
      </c>
      <c r="M31" s="4" t="n">
        <v>-0.166</v>
      </c>
      <c r="N31" s="9" t="n">
        <f aca="false">(F31+G31-H31-I31)/4</f>
        <v>-0.005</v>
      </c>
      <c r="O31" s="9" t="n">
        <f aca="false">(1*J31+1*K31-(1)*L31-(1)*M31)/4</f>
        <v>0.169</v>
      </c>
      <c r="P31" s="9" t="n">
        <f aca="false">IF(O31&lt;&gt;0,N31/O31,"n/a")</f>
        <v>-0.029585798816568</v>
      </c>
      <c r="Q31" s="4" t="n">
        <v>0.0935884429532677</v>
      </c>
      <c r="R31" s="5" t="n">
        <f aca="false">IF(ISNUMBER(P31),P31/Q31,"n/a")</f>
        <v>-0.316126627209103</v>
      </c>
      <c r="S31" s="6" t="n">
        <v>288</v>
      </c>
      <c r="T31" s="7" t="n">
        <v>3.092</v>
      </c>
    </row>
    <row r="32" customFormat="false" ht="15" hidden="false" customHeight="false" outlineLevel="0" collapsed="false">
      <c r="A32" s="0" t="s">
        <v>27</v>
      </c>
      <c r="B32" s="0" t="n">
        <v>72</v>
      </c>
      <c r="C32" s="0" t="n">
        <v>1</v>
      </c>
      <c r="D32" s="0" t="n">
        <f aca="false">B32*C32</f>
        <v>72</v>
      </c>
      <c r="E32" s="0" t="s">
        <v>30</v>
      </c>
      <c r="F32" s="4" t="n">
        <v>0.072</v>
      </c>
      <c r="G32" s="4" t="n">
        <v>0.026</v>
      </c>
      <c r="H32" s="4" t="n">
        <v>0.022</v>
      </c>
      <c r="I32" s="4" t="n">
        <v>0.022</v>
      </c>
      <c r="J32" s="4" t="n">
        <v>0.176</v>
      </c>
      <c r="K32" s="4" t="n">
        <v>0.136</v>
      </c>
      <c r="L32" s="4" t="n">
        <v>-0.164</v>
      </c>
      <c r="M32" s="4" t="n">
        <v>-0.122</v>
      </c>
      <c r="N32" s="9" t="n">
        <f aca="false">(F32+G32-H32-I32)/4</f>
        <v>0.0135</v>
      </c>
      <c r="O32" s="9" t="n">
        <f aca="false">(1*J32+1*K32-(1)*L32-(1)*M32)/4</f>
        <v>0.1495</v>
      </c>
      <c r="P32" s="9" t="n">
        <f aca="false">IF(O32&lt;&gt;0,N32/O32,"n/a")</f>
        <v>0.0903010033444816</v>
      </c>
      <c r="Q32" s="4" t="n">
        <v>0.106092378398145</v>
      </c>
      <c r="R32" s="5" t="n">
        <f aca="false">IF(ISNUMBER(P32),P32/Q32,"n/a")</f>
        <v>0.851154481668782</v>
      </c>
      <c r="S32" s="6" t="n">
        <v>176</v>
      </c>
      <c r="T32" s="7" t="n">
        <v>2.78</v>
      </c>
    </row>
    <row r="33" customFormat="false" ht="15" hidden="false" customHeight="false" outlineLevel="0" collapsed="false">
      <c r="A33" s="0" t="s">
        <v>27</v>
      </c>
      <c r="B33" s="0" t="n">
        <v>72</v>
      </c>
      <c r="C33" s="0" t="n">
        <v>2</v>
      </c>
      <c r="D33" s="0" t="n">
        <f aca="false">B33*C33</f>
        <v>144</v>
      </c>
      <c r="E33" s="0" t="s">
        <v>30</v>
      </c>
      <c r="F33" s="4" t="n">
        <v>-0.02</v>
      </c>
      <c r="G33" s="4" t="n">
        <v>-0.03</v>
      </c>
      <c r="H33" s="4" t="n">
        <v>-0.058</v>
      </c>
      <c r="I33" s="4" t="n">
        <v>0.042</v>
      </c>
      <c r="J33" s="4" t="n">
        <v>0.092</v>
      </c>
      <c r="K33" s="4" t="n">
        <v>0.156</v>
      </c>
      <c r="L33" s="4" t="n">
        <v>-0.086</v>
      </c>
      <c r="M33" s="4" t="n">
        <v>-0.154</v>
      </c>
      <c r="N33" s="9" t="n">
        <f aca="false">(F33+G33-H33-I33)/4</f>
        <v>-0.0085</v>
      </c>
      <c r="O33" s="9" t="n">
        <f aca="false">(1*J33+1*K33-(1)*L33-(1)*M33)/4</f>
        <v>0.122</v>
      </c>
      <c r="P33" s="9" t="n">
        <f aca="false">IF(O33&lt;&gt;0,N33/O33,"n/a")</f>
        <v>-0.069672131147541</v>
      </c>
      <c r="Q33" s="4" t="n">
        <v>0.129806776414516</v>
      </c>
      <c r="R33" s="5" t="n">
        <f aca="false">IF(ISNUMBER(P33),P33/Q33,"n/a")</f>
        <v>-0.536737241860587</v>
      </c>
      <c r="S33" s="6" t="n">
        <v>352</v>
      </c>
      <c r="T33" s="7" t="n">
        <v>3.316</v>
      </c>
    </row>
    <row r="34" customFormat="false" ht="15" hidden="false" customHeight="false" outlineLevel="0" collapsed="false">
      <c r="A34" s="0" t="s">
        <v>27</v>
      </c>
      <c r="B34" s="0" t="n">
        <v>72</v>
      </c>
      <c r="C34" s="0" t="n">
        <v>4</v>
      </c>
      <c r="D34" s="0" t="n">
        <f aca="false">B34*C34</f>
        <v>288</v>
      </c>
      <c r="E34" s="0" t="s">
        <v>30</v>
      </c>
      <c r="F34" s="4" t="n">
        <v>0.05</v>
      </c>
      <c r="G34" s="4" t="n">
        <v>0.012</v>
      </c>
      <c r="H34" s="4" t="n">
        <v>-0.014</v>
      </c>
      <c r="I34" s="4" t="n">
        <v>-0.042</v>
      </c>
      <c r="J34" s="4" t="n">
        <v>0.15</v>
      </c>
      <c r="K34" s="4" t="n">
        <v>0.18</v>
      </c>
      <c r="L34" s="4" t="n">
        <v>-0.166</v>
      </c>
      <c r="M34" s="4" t="n">
        <v>-0.168</v>
      </c>
      <c r="N34" s="9" t="n">
        <f aca="false">(F34+G34-H34-I34)/4</f>
        <v>0.0295</v>
      </c>
      <c r="O34" s="9" t="n">
        <f aca="false">(1*J34+1*K34-(1)*L34-(1)*M34)/4</f>
        <v>0.166</v>
      </c>
      <c r="P34" s="9" t="n">
        <f aca="false">IF(O34&lt;&gt;0,N34/O34,"n/a")</f>
        <v>0.177710843373494</v>
      </c>
      <c r="Q34" s="4" t="n">
        <v>0.096646685653946</v>
      </c>
      <c r="R34" s="5" t="n">
        <f aca="false">IF(ISNUMBER(P34),P34/Q34,"n/a")</f>
        <v>1.83876810850821</v>
      </c>
      <c r="S34" s="6" t="n">
        <v>704</v>
      </c>
      <c r="T34" s="7" t="n">
        <v>4.388</v>
      </c>
    </row>
    <row r="35" customFormat="false" ht="15" hidden="false" customHeight="false" outlineLevel="0" collapsed="false">
      <c r="A35" s="0" t="s">
        <v>27</v>
      </c>
      <c r="B35" s="0" t="n">
        <v>72</v>
      </c>
      <c r="C35" s="0" t="n">
        <v>1</v>
      </c>
      <c r="D35" s="0" t="n">
        <f aca="false">B35*C35</f>
        <v>72</v>
      </c>
      <c r="E35" s="0" t="s">
        <v>31</v>
      </c>
      <c r="F35" s="4" t="n">
        <v>0.002</v>
      </c>
      <c r="G35" s="4" t="n">
        <v>-0.022</v>
      </c>
      <c r="H35" s="4" t="n">
        <v>-0.01</v>
      </c>
      <c r="I35" s="4" t="n">
        <v>-0.026</v>
      </c>
      <c r="J35" s="4" t="n">
        <v>0.142</v>
      </c>
      <c r="K35" s="4" t="n">
        <v>0.094</v>
      </c>
      <c r="L35" s="4" t="n">
        <v>-0.128</v>
      </c>
      <c r="M35" s="4" t="n">
        <v>-0.15</v>
      </c>
      <c r="N35" s="9" t="n">
        <f aca="false">(F35+G35-H35-I35)/4</f>
        <v>0.004</v>
      </c>
      <c r="O35" s="9" t="n">
        <f aca="false">(1*J35+1*K35-(1)*L35-(1)*M35)/4</f>
        <v>0.1285</v>
      </c>
      <c r="P35" s="9" t="n">
        <f aca="false">IF(O35&lt;&gt;0,N35/O35,"n/a")</f>
        <v>0.0311284046692607</v>
      </c>
      <c r="Q35" s="4" t="n">
        <v>0.123084978490117</v>
      </c>
      <c r="R35" s="5" t="n">
        <f aca="false">IF(ISNUMBER(P35),P35/Q35,"n/a")</f>
        <v>0.252901735460434</v>
      </c>
      <c r="S35" s="6" t="n">
        <v>72</v>
      </c>
      <c r="T35" s="7" t="n">
        <v>7.268</v>
      </c>
    </row>
    <row r="36" customFormat="false" ht="15" hidden="false" customHeight="false" outlineLevel="0" collapsed="false">
      <c r="A36" s="0" t="s">
        <v>27</v>
      </c>
      <c r="B36" s="0" t="n">
        <v>72</v>
      </c>
      <c r="C36" s="0" t="n">
        <v>2</v>
      </c>
      <c r="D36" s="0" t="n">
        <f aca="false">B36*C36</f>
        <v>144</v>
      </c>
      <c r="E36" s="0" t="s">
        <v>31</v>
      </c>
      <c r="F36" s="4" t="n">
        <v>0.038</v>
      </c>
      <c r="G36" s="4" t="n">
        <v>-0.038</v>
      </c>
      <c r="H36" s="4" t="n">
        <v>0.018</v>
      </c>
      <c r="I36" s="4" t="n">
        <v>0.072</v>
      </c>
      <c r="J36" s="4" t="n">
        <v>0.164</v>
      </c>
      <c r="K36" s="4" t="n">
        <v>0.134</v>
      </c>
      <c r="L36" s="4" t="n">
        <v>-0.154</v>
      </c>
      <c r="M36" s="4" t="n">
        <v>-0.126</v>
      </c>
      <c r="N36" s="9" t="n">
        <f aca="false">(F36+G36-H36-I36)/4</f>
        <v>-0.0225</v>
      </c>
      <c r="O36" s="9" t="n">
        <f aca="false">(1*J36+1*K36-(1)*L36-(1)*M36)/4</f>
        <v>0.1445</v>
      </c>
      <c r="P36" s="9" t="n">
        <f aca="false">IF(O36&lt;&gt;0,N36/O36,"n/a")</f>
        <v>-0.155709342560554</v>
      </c>
      <c r="Q36" s="4" t="n">
        <v>0.110598680098777</v>
      </c>
      <c r="R36" s="5" t="n">
        <f aca="false">IF(ISNUMBER(P36),P36/Q36,"n/a")</f>
        <v>-1.40787704176476</v>
      </c>
      <c r="S36" s="6" t="n">
        <v>144</v>
      </c>
      <c r="T36" s="7" t="n">
        <v>12.292</v>
      </c>
    </row>
    <row r="37" customFormat="false" ht="15" hidden="false" customHeight="false" outlineLevel="0" collapsed="false">
      <c r="A37" s="0" t="s">
        <v>27</v>
      </c>
      <c r="B37" s="0" t="n">
        <v>72</v>
      </c>
      <c r="C37" s="0" t="n">
        <v>4</v>
      </c>
      <c r="D37" s="0" t="n">
        <f aca="false">B37*C37</f>
        <v>288</v>
      </c>
      <c r="E37" s="0" t="s">
        <v>31</v>
      </c>
      <c r="F37" s="4" t="n">
        <v>-0.006</v>
      </c>
      <c r="G37" s="4" t="n">
        <v>-0.02</v>
      </c>
      <c r="H37" s="4" t="n">
        <v>-0.046</v>
      </c>
      <c r="I37" s="4" t="n">
        <v>0</v>
      </c>
      <c r="J37" s="4" t="n">
        <v>0.13</v>
      </c>
      <c r="K37" s="4" t="n">
        <v>0.106</v>
      </c>
      <c r="L37" s="4" t="n">
        <v>-0.112</v>
      </c>
      <c r="M37" s="4" t="n">
        <v>-0.136</v>
      </c>
      <c r="N37" s="9" t="n">
        <f aca="false">(F37+G37-H37-I37)/4</f>
        <v>0.005</v>
      </c>
      <c r="O37" s="9" t="n">
        <f aca="false">(1*J37+1*K37-(1)*L37-(1)*M37)/4</f>
        <v>0.121</v>
      </c>
      <c r="P37" s="9" t="n">
        <f aca="false">IF(O37&lt;&gt;0,N37/O37,"n/a")</f>
        <v>0.0413223140495868</v>
      </c>
      <c r="Q37" s="4" t="n">
        <v>0.130740841692221</v>
      </c>
      <c r="R37" s="5" t="n">
        <f aca="false">IF(ISNUMBER(P37),P37/Q37,"n/a")</f>
        <v>0.316062781260536</v>
      </c>
      <c r="S37" s="6" t="n">
        <v>288</v>
      </c>
      <c r="T37" s="7" t="n">
        <v>22.292</v>
      </c>
    </row>
    <row r="38" customFormat="false" ht="15" hidden="false" customHeight="false" outlineLevel="0" collapsed="false">
      <c r="A38" s="0" t="s">
        <v>27</v>
      </c>
      <c r="B38" s="0" t="n">
        <v>88</v>
      </c>
      <c r="C38" s="0" t="n">
        <v>1</v>
      </c>
      <c r="D38" s="0" t="n">
        <f aca="false">B38*C38</f>
        <v>88</v>
      </c>
      <c r="E38" s="0" t="s">
        <v>29</v>
      </c>
      <c r="F38" s="4" t="n">
        <v>0.023</v>
      </c>
      <c r="G38" s="4" t="n">
        <v>0.03</v>
      </c>
      <c r="H38" s="4" t="n">
        <v>0.0065</v>
      </c>
      <c r="I38" s="4" t="n">
        <v>-0.025</v>
      </c>
      <c r="J38" s="4" t="n">
        <v>0.068</v>
      </c>
      <c r="K38" s="4" t="n">
        <v>0.086</v>
      </c>
      <c r="L38" s="4" t="n">
        <v>-0.0675</v>
      </c>
      <c r="M38" s="4" t="n">
        <v>-0.109</v>
      </c>
      <c r="N38" s="9" t="n">
        <f aca="false">(F38+G38-H38-I38)/4</f>
        <v>0.017875</v>
      </c>
      <c r="O38" s="9" t="n">
        <f aca="false">(1*J38+1*K38-(1)*L38-(1)*M38)/4</f>
        <v>0.082625</v>
      </c>
      <c r="P38" s="9" t="n">
        <f aca="false">IF(O38&lt;&gt;0,N38/O38,"n/a")</f>
        <v>0.216338880484115</v>
      </c>
      <c r="Q38" s="4" t="n">
        <v>0.0978550087549057</v>
      </c>
      <c r="R38" s="5" t="n">
        <f aca="false">IF(ISNUMBER(P38),P38/Q38,"n/a")</f>
        <v>2.21081049643531</v>
      </c>
      <c r="S38" s="6" t="n">
        <v>88</v>
      </c>
      <c r="T38" s="7" t="n">
        <v>2.484</v>
      </c>
    </row>
    <row r="39" customFormat="false" ht="15" hidden="false" customHeight="false" outlineLevel="0" collapsed="false">
      <c r="A39" s="0" t="s">
        <v>27</v>
      </c>
      <c r="B39" s="0" t="n">
        <v>88</v>
      </c>
      <c r="C39" s="0" t="n">
        <v>2</v>
      </c>
      <c r="D39" s="0" t="n">
        <f aca="false">B39*C39</f>
        <v>176</v>
      </c>
      <c r="E39" s="0" t="s">
        <v>29</v>
      </c>
      <c r="F39" s="4" t="n">
        <v>-0.0175</v>
      </c>
      <c r="G39" s="4" t="n">
        <v>-0.0145</v>
      </c>
      <c r="H39" s="4" t="n">
        <v>-0.0015</v>
      </c>
      <c r="I39" s="4" t="n">
        <v>0.0025</v>
      </c>
      <c r="J39" s="4" t="n">
        <v>0.0335</v>
      </c>
      <c r="K39" s="4" t="n">
        <v>0.1095</v>
      </c>
      <c r="L39" s="4" t="n">
        <v>-0.0515</v>
      </c>
      <c r="M39" s="4" t="n">
        <v>-0.0865</v>
      </c>
      <c r="N39" s="9" t="n">
        <f aca="false">(F39+G39-H39-I39)/4</f>
        <v>-0.00825</v>
      </c>
      <c r="O39" s="9" t="n">
        <f aca="false">(1*J39+1*K39-(1)*L39-(1)*M39)/4</f>
        <v>0.07025</v>
      </c>
      <c r="P39" s="9" t="n">
        <f aca="false">IF(O39&lt;&gt;0,N39/O39,"n/a")</f>
        <v>-0.117437722419929</v>
      </c>
      <c r="Q39" s="4" t="n">
        <v>0.113298130152773</v>
      </c>
      <c r="R39" s="5" t="n">
        <f aca="false">IF(ISNUMBER(P39),P39/Q39,"n/a")</f>
        <v>-1.03653716316036</v>
      </c>
      <c r="S39" s="6" t="n">
        <v>176</v>
      </c>
      <c r="T39" s="7" t="n">
        <v>2.724</v>
      </c>
    </row>
    <row r="40" customFormat="false" ht="15" hidden="false" customHeight="false" outlineLevel="0" collapsed="false">
      <c r="A40" s="0" t="s">
        <v>27</v>
      </c>
      <c r="B40" s="0" t="n">
        <v>88</v>
      </c>
      <c r="C40" s="0" t="n">
        <v>1</v>
      </c>
      <c r="D40" s="0" t="n">
        <f aca="false">B40*C40</f>
        <v>88</v>
      </c>
      <c r="E40" s="0" t="s">
        <v>30</v>
      </c>
      <c r="F40" s="4" t="n">
        <v>-0.0065</v>
      </c>
      <c r="G40" s="4" t="n">
        <v>-0.0045</v>
      </c>
      <c r="H40" s="4" t="n">
        <v>0.0085</v>
      </c>
      <c r="I40" s="4" t="n">
        <v>0.017</v>
      </c>
      <c r="J40" s="4" t="n">
        <v>0.0805</v>
      </c>
      <c r="K40" s="4" t="n">
        <v>0.096</v>
      </c>
      <c r="L40" s="4" t="n">
        <v>-0.094</v>
      </c>
      <c r="M40" s="4" t="n">
        <v>-0.083</v>
      </c>
      <c r="N40" s="9" t="n">
        <f aca="false">(F40+G40-H40-I40)/4</f>
        <v>-0.009125</v>
      </c>
      <c r="O40" s="9" t="n">
        <f aca="false">(1*J40+1*K40-(1)*L40-(1)*M40)/4</f>
        <v>0.088375</v>
      </c>
      <c r="P40" s="9" t="n">
        <f aca="false">IF(O40&lt;&gt;0,N40/O40,"n/a")</f>
        <v>-0.103253182461103</v>
      </c>
      <c r="Q40" s="4" t="n">
        <v>0.0899233802552601</v>
      </c>
      <c r="R40" s="5" t="n">
        <f aca="false">IF(ISNUMBER(P40),P40/Q40,"n/a")</f>
        <v>-1.14823511046854</v>
      </c>
      <c r="S40" s="6" t="n">
        <v>216</v>
      </c>
      <c r="T40" s="7" t="n">
        <v>2.864</v>
      </c>
    </row>
    <row r="41" customFormat="false" ht="15" hidden="false" customHeight="false" outlineLevel="0" collapsed="false">
      <c r="A41" s="0" t="s">
        <v>27</v>
      </c>
      <c r="B41" s="0" t="n">
        <v>88</v>
      </c>
      <c r="C41" s="0" t="n">
        <v>2</v>
      </c>
      <c r="D41" s="0" t="n">
        <f aca="false">B41*C41</f>
        <v>176</v>
      </c>
      <c r="E41" s="0" t="s">
        <v>30</v>
      </c>
      <c r="F41" s="4" t="n">
        <v>-0.0045</v>
      </c>
      <c r="G41" s="4" t="n">
        <v>-0.003</v>
      </c>
      <c r="H41" s="4" t="n">
        <v>0.0225</v>
      </c>
      <c r="I41" s="4" t="n">
        <v>0.013</v>
      </c>
      <c r="J41" s="4" t="n">
        <v>0.0805</v>
      </c>
      <c r="K41" s="4" t="n">
        <v>0.083</v>
      </c>
      <c r="L41" s="4" t="n">
        <v>-0.0825</v>
      </c>
      <c r="M41" s="4" t="n">
        <v>-0.0985</v>
      </c>
      <c r="N41" s="9" t="n">
        <f aca="false">(F41+G41-H41-I41)/4</f>
        <v>-0.01075</v>
      </c>
      <c r="O41" s="9" t="n">
        <f aca="false">(1*J41+1*K41-(1)*L41-(1)*M41)/4</f>
        <v>0.086125</v>
      </c>
      <c r="P41" s="9" t="n">
        <f aca="false">IF(O41&lt;&gt;0,N41/O41,"n/a")</f>
        <v>-0.124818577648766</v>
      </c>
      <c r="Q41" s="4" t="n">
        <v>0.0924922246068143</v>
      </c>
      <c r="R41" s="5" t="n">
        <f aca="false">IF(ISNUMBER(P41),P41/Q41,"n/a")</f>
        <v>-1.34950346560883</v>
      </c>
      <c r="S41" s="6" t="n">
        <v>432</v>
      </c>
      <c r="T41" s="7" t="n">
        <v>3.484</v>
      </c>
    </row>
    <row r="42" customFormat="false" ht="15" hidden="false" customHeight="false" outlineLevel="0" collapsed="false">
      <c r="A42" s="0" t="s">
        <v>27</v>
      </c>
      <c r="B42" s="0" t="n">
        <v>88</v>
      </c>
      <c r="C42" s="0" t="n">
        <v>1</v>
      </c>
      <c r="D42" s="0" t="n">
        <f aca="false">B42*C42</f>
        <v>88</v>
      </c>
      <c r="E42" s="0" t="s">
        <v>31</v>
      </c>
      <c r="F42" s="4" t="n">
        <v>-0.0135</v>
      </c>
      <c r="G42" s="4" t="n">
        <v>-0.0035</v>
      </c>
      <c r="H42" s="4" t="n">
        <v>-0.0055</v>
      </c>
      <c r="I42" s="4" t="n">
        <v>0.0105</v>
      </c>
      <c r="J42" s="4" t="n">
        <v>0.058</v>
      </c>
      <c r="K42" s="4" t="n">
        <v>0.1025</v>
      </c>
      <c r="L42" s="4" t="n">
        <v>-0.0875</v>
      </c>
      <c r="M42" s="4" t="n">
        <v>-0.1235</v>
      </c>
      <c r="N42" s="9" t="n">
        <f aca="false">(F42+G42-H42-I42)/4</f>
        <v>-0.0055</v>
      </c>
      <c r="O42" s="9" t="n">
        <f aca="false">(1*J42+1*K42-(1)*L42-(1)*M42)/4</f>
        <v>0.092875</v>
      </c>
      <c r="P42" s="9" t="n">
        <f aca="false">IF(O42&lt;&gt;0,N42/O42,"n/a")</f>
        <v>-0.0592193808882907</v>
      </c>
      <c r="Q42" s="4" t="n">
        <v>0.085266074547378</v>
      </c>
      <c r="R42" s="5" t="n">
        <f aca="false">IF(ISNUMBER(P42),P42/Q42,"n/a")</f>
        <v>-0.694524536313509</v>
      </c>
      <c r="S42" s="6" t="n">
        <v>88</v>
      </c>
      <c r="T42" s="7" t="n">
        <v>8.356</v>
      </c>
    </row>
    <row r="43" customFormat="false" ht="15" hidden="false" customHeight="false" outlineLevel="0" collapsed="false">
      <c r="A43" s="0" t="s">
        <v>27</v>
      </c>
      <c r="B43" s="0" t="n">
        <v>88</v>
      </c>
      <c r="C43" s="0" t="n">
        <v>2</v>
      </c>
      <c r="D43" s="0" t="n">
        <f aca="false">B43*C43</f>
        <v>176</v>
      </c>
      <c r="E43" s="0" t="s">
        <v>31</v>
      </c>
      <c r="F43" s="4" t="n">
        <v>-0.0035</v>
      </c>
      <c r="G43" s="4" t="n">
        <v>-0.0055</v>
      </c>
      <c r="H43" s="4" t="n">
        <v>-0.0035</v>
      </c>
      <c r="I43" s="4" t="n">
        <v>0.012</v>
      </c>
      <c r="J43" s="4" t="n">
        <v>0.1105</v>
      </c>
      <c r="K43" s="4" t="n">
        <v>0.101</v>
      </c>
      <c r="L43" s="4" t="n">
        <v>-0.0775</v>
      </c>
      <c r="M43" s="4" t="n">
        <v>-0.105</v>
      </c>
      <c r="N43" s="9" t="n">
        <f aca="false">(F43+G43-H43-I43)/4</f>
        <v>-0.004375</v>
      </c>
      <c r="O43" s="9" t="n">
        <f aca="false">(1*J43+1*K43-(1)*L43-(1)*M43)/4</f>
        <v>0.0985</v>
      </c>
      <c r="P43" s="9" t="n">
        <f aca="false">IF(O43&lt;&gt;0,N43/O43,"n/a")</f>
        <v>-0.0444162436548223</v>
      </c>
      <c r="Q43" s="4" t="n">
        <v>0.0803372127706553</v>
      </c>
      <c r="R43" s="5" t="n">
        <f aca="false">IF(ISNUMBER(P43),P43/Q43,"n/a")</f>
        <v>-0.552872599421899</v>
      </c>
      <c r="S43" s="6" t="n">
        <v>176</v>
      </c>
      <c r="T43" s="7" t="n">
        <v>14.468</v>
      </c>
    </row>
    <row r="44" customFormat="false" ht="15" hidden="false" customHeight="false" outlineLevel="0" collapsed="false">
      <c r="A44" s="0" t="s">
        <v>33</v>
      </c>
      <c r="B44" s="0" t="n">
        <v>20</v>
      </c>
      <c r="C44" s="0" t="n">
        <v>2</v>
      </c>
      <c r="D44" s="0" t="n">
        <f aca="false">B44*C44</f>
        <v>40</v>
      </c>
      <c r="E44" s="0" t="s">
        <v>29</v>
      </c>
      <c r="F44" s="4" t="n">
        <v>0.222</v>
      </c>
      <c r="G44" s="4" t="n">
        <v>0.186</v>
      </c>
      <c r="H44" s="4" t="n">
        <v>-0.224</v>
      </c>
      <c r="I44" s="4" t="n">
        <v>-0.172</v>
      </c>
      <c r="J44" s="4" t="n">
        <v>0.348</v>
      </c>
      <c r="K44" s="4" t="n">
        <v>0.538</v>
      </c>
      <c r="L44" s="4" t="n">
        <v>-0.344</v>
      </c>
      <c r="M44" s="4" t="n">
        <v>-0.51</v>
      </c>
      <c r="N44" s="9" t="n">
        <f aca="false">(F44+G44-H44-I44)/4</f>
        <v>0.201</v>
      </c>
      <c r="O44" s="9" t="n">
        <f aca="false">(1*J44+1*K44-(1)*L44-(1)*M44)/4</f>
        <v>0.435</v>
      </c>
      <c r="P44" s="9" t="n">
        <f aca="false">IF(O44&lt;&gt;0,N44/O44,"n/a")</f>
        <v>0.462068965517241</v>
      </c>
      <c r="Q44" s="4" t="n">
        <v>0.0386467513222888</v>
      </c>
      <c r="R44" s="5" t="n">
        <f aca="false">IF(ISNUMBER(P44),P44/Q44,"n/a")</f>
        <v>11.9562175268986</v>
      </c>
      <c r="S44" s="6" t="n">
        <v>40</v>
      </c>
      <c r="T44" s="7" t="n">
        <v>3.204</v>
      </c>
    </row>
    <row r="45" customFormat="false" ht="15" hidden="false" customHeight="false" outlineLevel="0" collapsed="false">
      <c r="A45" s="0" t="s">
        <v>33</v>
      </c>
      <c r="B45" s="0" t="n">
        <v>20</v>
      </c>
      <c r="C45" s="0" t="n">
        <v>4</v>
      </c>
      <c r="D45" s="0" t="n">
        <f aca="false">B45*C45</f>
        <v>80</v>
      </c>
      <c r="E45" s="0" t="s">
        <v>29</v>
      </c>
      <c r="F45" s="4" t="n">
        <v>0.11</v>
      </c>
      <c r="G45" s="4" t="n">
        <v>0.132</v>
      </c>
      <c r="H45" s="4" t="n">
        <v>-0.11</v>
      </c>
      <c r="I45" s="4" t="n">
        <v>-0.108</v>
      </c>
      <c r="J45" s="4" t="n">
        <v>0.366</v>
      </c>
      <c r="K45" s="4" t="n">
        <v>0.502</v>
      </c>
      <c r="L45" s="4" t="n">
        <v>-0.296</v>
      </c>
      <c r="M45" s="4" t="n">
        <v>-0.512</v>
      </c>
      <c r="N45" s="9" t="n">
        <f aca="false">(F45+G45-H45-I45)/4</f>
        <v>0.115</v>
      </c>
      <c r="O45" s="9" t="n">
        <f aca="false">(1*J45+1*K45-(1)*L45-(1)*M45)/4</f>
        <v>0.419</v>
      </c>
      <c r="P45" s="9" t="n">
        <f aca="false">IF(O45&lt;&gt;0,N45/O45,"n/a")</f>
        <v>0.274463007159905</v>
      </c>
      <c r="Q45" s="4" t="n">
        <v>0.0386338705131447</v>
      </c>
      <c r="R45" s="5" t="n">
        <f aca="false">IF(ISNUMBER(P45),P45/Q45,"n/a")</f>
        <v>7.10420684012289</v>
      </c>
      <c r="S45" s="6" t="n">
        <v>80</v>
      </c>
      <c r="T45" s="7" t="n">
        <v>3.652</v>
      </c>
    </row>
    <row r="46" customFormat="false" ht="15" hidden="false" customHeight="false" outlineLevel="0" collapsed="false">
      <c r="A46" s="0" t="s">
        <v>33</v>
      </c>
      <c r="B46" s="0" t="n">
        <v>20</v>
      </c>
      <c r="C46" s="0" t="n">
        <v>8</v>
      </c>
      <c r="D46" s="0" t="n">
        <f aca="false">B46*C46</f>
        <v>160</v>
      </c>
      <c r="E46" s="0" t="s">
        <v>29</v>
      </c>
      <c r="F46" s="4" t="n">
        <v>0.08</v>
      </c>
      <c r="G46" s="4" t="n">
        <v>0.062</v>
      </c>
      <c r="H46" s="4" t="n">
        <v>-0.04</v>
      </c>
      <c r="I46" s="4" t="n">
        <v>-0.048</v>
      </c>
      <c r="J46" s="4" t="n">
        <v>0.318</v>
      </c>
      <c r="K46" s="4" t="n">
        <v>0.49</v>
      </c>
      <c r="L46" s="4" t="n">
        <v>-0.354</v>
      </c>
      <c r="M46" s="4" t="n">
        <v>-0.508</v>
      </c>
      <c r="N46" s="9" t="n">
        <f aca="false">(F46+G46-H46-I46)/4</f>
        <v>0.0575</v>
      </c>
      <c r="O46" s="9" t="n">
        <f aca="false">(1*J46+1*K46-(1)*L46-(1)*M46)/4</f>
        <v>0.4175</v>
      </c>
      <c r="P46" s="9" t="n">
        <f aca="false">IF(O46&lt;&gt;0,N46/O46,"n/a")</f>
        <v>0.137724550898204</v>
      </c>
      <c r="Q46" s="4" t="n">
        <v>0.0380980459738654</v>
      </c>
      <c r="R46" s="5" t="n">
        <f aca="false">IF(ISNUMBER(P46),P46/Q46,"n/a")</f>
        <v>3.61500301072345</v>
      </c>
      <c r="S46" s="6" t="n">
        <v>160</v>
      </c>
      <c r="T46" s="7" t="n">
        <v>4.548</v>
      </c>
    </row>
    <row r="47" customFormat="false" ht="15" hidden="false" customHeight="false" outlineLevel="0" collapsed="false">
      <c r="A47" s="0" t="s">
        <v>33</v>
      </c>
      <c r="B47" s="0" t="n">
        <v>20</v>
      </c>
      <c r="C47" s="0" t="n">
        <v>2</v>
      </c>
      <c r="D47" s="0" t="n">
        <f aca="false">B47*C47</f>
        <v>40</v>
      </c>
      <c r="E47" s="0" t="s">
        <v>30</v>
      </c>
      <c r="F47" s="4" t="n">
        <v>0.094</v>
      </c>
      <c r="G47" s="4" t="n">
        <v>0.096</v>
      </c>
      <c r="H47" s="4" t="n">
        <v>-0.138</v>
      </c>
      <c r="I47" s="4" t="n">
        <v>-0.076</v>
      </c>
      <c r="J47" s="4" t="n">
        <v>0.31</v>
      </c>
      <c r="K47" s="4" t="n">
        <v>0.48</v>
      </c>
      <c r="L47" s="4" t="n">
        <v>-0.316</v>
      </c>
      <c r="M47" s="4" t="n">
        <v>-0.506</v>
      </c>
      <c r="N47" s="9" t="n">
        <f aca="false">(F47+G47-H47-I47)/4</f>
        <v>0.101</v>
      </c>
      <c r="O47" s="9" t="n">
        <f aca="false">(1*J47+1*K47-(1)*L47-(1)*M47)/4</f>
        <v>0.403</v>
      </c>
      <c r="P47" s="9" t="n">
        <f aca="false">IF(O47&lt;&gt;0,N47/O47,"n/a")</f>
        <v>0.250620347394541</v>
      </c>
      <c r="Q47" s="4" t="n">
        <v>0.0400376880308628</v>
      </c>
      <c r="R47" s="5" t="n">
        <f aca="false">IF(ISNUMBER(P47),P47/Q47,"n/a")</f>
        <v>6.25961087466768</v>
      </c>
      <c r="S47" s="6" t="n">
        <v>92</v>
      </c>
      <c r="T47" s="7" t="n">
        <v>3.892</v>
      </c>
    </row>
    <row r="48" customFormat="false" ht="15" hidden="false" customHeight="false" outlineLevel="0" collapsed="false">
      <c r="A48" s="0" t="s">
        <v>33</v>
      </c>
      <c r="B48" s="0" t="n">
        <v>20</v>
      </c>
      <c r="C48" s="0" t="n">
        <v>4</v>
      </c>
      <c r="D48" s="0" t="n">
        <f aca="false">B48*C48</f>
        <v>80</v>
      </c>
      <c r="E48" s="0" t="s">
        <v>30</v>
      </c>
      <c r="F48" s="4" t="n">
        <v>0.022</v>
      </c>
      <c r="G48" s="4" t="n">
        <v>0.03</v>
      </c>
      <c r="H48" s="4" t="n">
        <v>-0.04</v>
      </c>
      <c r="I48" s="4" t="n">
        <v>-0.05</v>
      </c>
      <c r="J48" s="4" t="n">
        <v>0.33</v>
      </c>
      <c r="K48" s="4" t="n">
        <v>0.542</v>
      </c>
      <c r="L48" s="4" t="n">
        <v>-0.29</v>
      </c>
      <c r="M48" s="4" t="n">
        <v>-0.46</v>
      </c>
      <c r="N48" s="9" t="n">
        <f aca="false">(F48+G48-H48-I48)/4</f>
        <v>0.0355</v>
      </c>
      <c r="O48" s="9" t="n">
        <f aca="false">(1*J48+1*K48-(1)*L48-(1)*M48)/4</f>
        <v>0.4055</v>
      </c>
      <c r="P48" s="9" t="n">
        <f aca="false">IF(O48&lt;&gt;0,N48/O48,"n/a")</f>
        <v>0.0875462392108508</v>
      </c>
      <c r="Q48" s="4" t="n">
        <v>0.0390888146319828</v>
      </c>
      <c r="R48" s="5" t="n">
        <f aca="false">IF(ISNUMBER(P48),P48/Q48,"n/a")</f>
        <v>2.2396749565084</v>
      </c>
      <c r="S48" s="6" t="n">
        <v>184</v>
      </c>
      <c r="T48" s="7" t="n">
        <v>5.028</v>
      </c>
    </row>
    <row r="49" customFormat="false" ht="15" hidden="false" customHeight="false" outlineLevel="0" collapsed="false">
      <c r="A49" s="0" t="s">
        <v>33</v>
      </c>
      <c r="B49" s="0" t="n">
        <v>20</v>
      </c>
      <c r="C49" s="0" t="n">
        <v>8</v>
      </c>
      <c r="D49" s="0" t="n">
        <f aca="false">B49*C49</f>
        <v>160</v>
      </c>
      <c r="E49" s="0" t="s">
        <v>30</v>
      </c>
      <c r="F49" s="4" t="n">
        <v>-0.006</v>
      </c>
      <c r="G49" s="4" t="n">
        <v>0.046</v>
      </c>
      <c r="H49" s="4" t="n">
        <v>0.07</v>
      </c>
      <c r="I49" s="4" t="n">
        <v>0.03</v>
      </c>
      <c r="J49" s="4" t="n">
        <v>0.316</v>
      </c>
      <c r="K49" s="4" t="n">
        <v>0.452</v>
      </c>
      <c r="L49" s="4" t="n">
        <v>-0.368</v>
      </c>
      <c r="M49" s="4" t="n">
        <v>-0.546</v>
      </c>
      <c r="N49" s="9" t="n">
        <f aca="false">(F49+G49-H49-I49)/4</f>
        <v>-0.015</v>
      </c>
      <c r="O49" s="9" t="n">
        <f aca="false">(1*J49+1*K49-(1)*L49-(1)*M49)/4</f>
        <v>0.4205</v>
      </c>
      <c r="P49" s="9" t="n">
        <f aca="false">IF(O49&lt;&gt;0,N49/O49,"n/a")</f>
        <v>-0.0356718192627824</v>
      </c>
      <c r="Q49" s="4" t="n">
        <v>0.037583530414346</v>
      </c>
      <c r="R49" s="5" t="n">
        <f aca="false">IF(ISNUMBER(P49),P49/Q49,"n/a")</f>
        <v>-0.949134338086721</v>
      </c>
      <c r="S49" s="6" t="n">
        <v>368</v>
      </c>
      <c r="T49" s="7" t="n">
        <v>7.3</v>
      </c>
    </row>
    <row r="50" customFormat="false" ht="15" hidden="false" customHeight="false" outlineLevel="0" collapsed="false">
      <c r="A50" s="0" t="s">
        <v>33</v>
      </c>
      <c r="B50" s="0" t="n">
        <v>20</v>
      </c>
      <c r="C50" s="0" t="n">
        <v>2</v>
      </c>
      <c r="D50" s="0" t="n">
        <f aca="false">B50*C50</f>
        <v>40</v>
      </c>
      <c r="E50" s="0" t="s">
        <v>31</v>
      </c>
      <c r="F50" s="4" t="n">
        <v>0.022</v>
      </c>
      <c r="G50" s="4" t="n">
        <v>0.054</v>
      </c>
      <c r="H50" s="4" t="n">
        <v>-0.064</v>
      </c>
      <c r="I50" s="4" t="n">
        <v>-0.06</v>
      </c>
      <c r="J50" s="4" t="n">
        <v>0.358</v>
      </c>
      <c r="K50" s="4" t="n">
        <v>0.504</v>
      </c>
      <c r="L50" s="4" t="n">
        <v>-0.386</v>
      </c>
      <c r="M50" s="4" t="n">
        <v>-0.502</v>
      </c>
      <c r="N50" s="9" t="n">
        <f aca="false">(F50+G50-H50-I50)/4</f>
        <v>0.05</v>
      </c>
      <c r="O50" s="9" t="n">
        <f aca="false">(1*J50+1*K50-(1)*L50-(1)*M50)/4</f>
        <v>0.4375</v>
      </c>
      <c r="P50" s="9" t="n">
        <f aca="false">IF(O50&lt;&gt;0,N50/O50,"n/a")</f>
        <v>0.114285714285714</v>
      </c>
      <c r="Q50" s="4" t="n">
        <v>0.0362797277768662</v>
      </c>
      <c r="R50" s="5" t="n">
        <f aca="false">IF(ISNUMBER(P50),P50/Q50,"n/a")</f>
        <v>3.15012601496389</v>
      </c>
      <c r="S50" s="6" t="n">
        <v>40</v>
      </c>
      <c r="T50" s="7" t="n">
        <v>5.716</v>
      </c>
    </row>
    <row r="51" customFormat="false" ht="15" hidden="false" customHeight="false" outlineLevel="0" collapsed="false">
      <c r="A51" s="0" t="s">
        <v>33</v>
      </c>
      <c r="B51" s="0" t="n">
        <v>20</v>
      </c>
      <c r="C51" s="0" t="n">
        <v>4</v>
      </c>
      <c r="D51" s="0" t="n">
        <f aca="false">B51*C51</f>
        <v>80</v>
      </c>
      <c r="E51" s="0" t="s">
        <v>31</v>
      </c>
      <c r="F51" s="4" t="n">
        <v>-0.008</v>
      </c>
      <c r="G51" s="4" t="n">
        <v>0.056</v>
      </c>
      <c r="H51" s="4" t="n">
        <v>0.008</v>
      </c>
      <c r="I51" s="4" t="n">
        <v>-0.062</v>
      </c>
      <c r="J51" s="4" t="n">
        <v>0.452</v>
      </c>
      <c r="K51" s="4" t="n">
        <v>0.52</v>
      </c>
      <c r="L51" s="4" t="n">
        <v>-0.33</v>
      </c>
      <c r="M51" s="4" t="n">
        <v>-0.534</v>
      </c>
      <c r="N51" s="9" t="n">
        <f aca="false">(F51+G51-H51-I51)/4</f>
        <v>0.0255</v>
      </c>
      <c r="O51" s="9" t="n">
        <f aca="false">(1*J51+1*K51-(1)*L51-(1)*M51)/4</f>
        <v>0.459</v>
      </c>
      <c r="P51" s="9" t="n">
        <f aca="false">IF(O51&lt;&gt;0,N51/O51,"n/a")</f>
        <v>0.0555555555555556</v>
      </c>
      <c r="Q51" s="4" t="n">
        <v>0.0344584746554498</v>
      </c>
      <c r="R51" s="5" t="n">
        <f aca="false">IF(ISNUMBER(P51),P51/Q51,"n/a")</f>
        <v>1.61224651152018</v>
      </c>
      <c r="S51" s="6" t="n">
        <v>80</v>
      </c>
      <c r="T51" s="7" t="n">
        <v>8.676</v>
      </c>
    </row>
    <row r="52" customFormat="false" ht="15" hidden="false" customHeight="false" outlineLevel="0" collapsed="false">
      <c r="A52" s="0" t="s">
        <v>33</v>
      </c>
      <c r="B52" s="0" t="n">
        <v>20</v>
      </c>
      <c r="C52" s="0" t="n">
        <v>8</v>
      </c>
      <c r="D52" s="0" t="n">
        <f aca="false">B52*C52</f>
        <v>160</v>
      </c>
      <c r="E52" s="0" t="s">
        <v>31</v>
      </c>
      <c r="F52" s="4" t="n">
        <v>0.06</v>
      </c>
      <c r="G52" s="4" t="n">
        <v>0.066</v>
      </c>
      <c r="H52" s="4" t="n">
        <v>-0.012</v>
      </c>
      <c r="I52" s="4" t="n">
        <v>-0.044</v>
      </c>
      <c r="J52" s="4" t="n">
        <v>0.362</v>
      </c>
      <c r="K52" s="4" t="n">
        <v>0.54</v>
      </c>
      <c r="L52" s="4" t="n">
        <v>-0.324</v>
      </c>
      <c r="M52" s="4" t="n">
        <v>-0.588</v>
      </c>
      <c r="N52" s="9" t="n">
        <f aca="false">(F52+G52-H52-I52)/4</f>
        <v>0.0455</v>
      </c>
      <c r="O52" s="9" t="n">
        <f aca="false">(1*J52+1*K52-(1)*L52-(1)*M52)/4</f>
        <v>0.4535</v>
      </c>
      <c r="P52" s="9" t="n">
        <f aca="false">IF(O52&lt;&gt;0,N52/O52,"n/a")</f>
        <v>0.100330760749724</v>
      </c>
      <c r="Q52" s="4" t="n">
        <v>0.0349585475940628</v>
      </c>
      <c r="R52" s="5" t="n">
        <f aca="false">IF(ISNUMBER(P52),P52/Q52,"n/a")</f>
        <v>2.86999225238877</v>
      </c>
      <c r="S52" s="6" t="n">
        <v>160</v>
      </c>
      <c r="T52" s="7" t="n">
        <v>14.596</v>
      </c>
    </row>
    <row r="53" customFormat="false" ht="15" hidden="false" customHeight="false" outlineLevel="0" collapsed="false">
      <c r="A53" s="0" t="s">
        <v>33</v>
      </c>
      <c r="B53" s="0" t="n">
        <v>36</v>
      </c>
      <c r="C53" s="0" t="n">
        <v>1</v>
      </c>
      <c r="D53" s="0" t="n">
        <f aca="false">B53*C53</f>
        <v>36</v>
      </c>
      <c r="E53" s="0" t="s">
        <v>29</v>
      </c>
      <c r="F53" s="4" t="n">
        <v>0.102</v>
      </c>
      <c r="G53" s="4" t="n">
        <v>0.09</v>
      </c>
      <c r="H53" s="4" t="n">
        <v>-0.08</v>
      </c>
      <c r="I53" s="4" t="n">
        <v>-0.132</v>
      </c>
      <c r="J53" s="4" t="n">
        <v>0.14</v>
      </c>
      <c r="K53" s="4" t="n">
        <v>0.084</v>
      </c>
      <c r="L53" s="4" t="n">
        <v>-0.222</v>
      </c>
      <c r="M53" s="4" t="n">
        <v>-0.122</v>
      </c>
      <c r="N53" s="9" t="n">
        <f aca="false">(F53+G53-H53-I53)/4</f>
        <v>0.101</v>
      </c>
      <c r="O53" s="9" t="n">
        <f aca="false">(1*J53+1*K53-(1)*L53-(1)*M53)/4</f>
        <v>0.142</v>
      </c>
      <c r="P53" s="9" t="n">
        <f aca="false">IF(O53&lt;&gt;0,N53/O53,"n/a")</f>
        <v>0.711267605633803</v>
      </c>
      <c r="Q53" s="4" t="n">
        <v>0.135635731787373</v>
      </c>
      <c r="R53" s="5" t="n">
        <f aca="false">IF(ISNUMBER(P53),P53/Q53,"n/a")</f>
        <v>5.24395449680478</v>
      </c>
      <c r="S53" s="6" t="n">
        <v>36</v>
      </c>
      <c r="T53" s="7" t="n">
        <v>2.988</v>
      </c>
    </row>
    <row r="54" customFormat="false" ht="15" hidden="false" customHeight="false" outlineLevel="0" collapsed="false">
      <c r="A54" s="0" t="s">
        <v>33</v>
      </c>
      <c r="B54" s="0" t="n">
        <v>36</v>
      </c>
      <c r="C54" s="0" t="n">
        <v>2</v>
      </c>
      <c r="D54" s="0" t="n">
        <f aca="false">B54*C54</f>
        <v>72</v>
      </c>
      <c r="E54" s="0" t="s">
        <v>29</v>
      </c>
      <c r="F54" s="4" t="n">
        <v>0.076</v>
      </c>
      <c r="G54" s="4" t="n">
        <v>0.062</v>
      </c>
      <c r="H54" s="4" t="n">
        <v>-0.078</v>
      </c>
      <c r="I54" s="4" t="n">
        <v>-0.002</v>
      </c>
      <c r="J54" s="4" t="n">
        <v>0.18</v>
      </c>
      <c r="K54" s="4" t="n">
        <v>0.168</v>
      </c>
      <c r="L54" s="4" t="n">
        <v>-0.19</v>
      </c>
      <c r="M54" s="4" t="n">
        <v>-0.196</v>
      </c>
      <c r="N54" s="9" t="n">
        <f aca="false">(F54+G54-H54-I54)/4</f>
        <v>0.0545</v>
      </c>
      <c r="O54" s="9" t="n">
        <f aca="false">(1*J54+1*K54-(1)*L54-(1)*M54)/4</f>
        <v>0.1835</v>
      </c>
      <c r="P54" s="9" t="n">
        <f aca="false">IF(O54&lt;&gt;0,N54/O54,"n/a")</f>
        <v>0.29700272479564</v>
      </c>
      <c r="Q54" s="4" t="n">
        <v>0.0895999411900952</v>
      </c>
      <c r="R54" s="5" t="n">
        <f aca="false">IF(ISNUMBER(P54),P54/Q54,"n/a")</f>
        <v>3.31476472920356</v>
      </c>
      <c r="S54" s="6" t="n">
        <v>72</v>
      </c>
      <c r="T54" s="7" t="n">
        <v>3.22</v>
      </c>
    </row>
    <row r="55" customFormat="false" ht="15" hidden="false" customHeight="false" outlineLevel="0" collapsed="false">
      <c r="A55" s="0" t="s">
        <v>33</v>
      </c>
      <c r="B55" s="0" t="n">
        <v>36</v>
      </c>
      <c r="C55" s="0" t="n">
        <v>4</v>
      </c>
      <c r="D55" s="0" t="n">
        <f aca="false">B55*C55</f>
        <v>144</v>
      </c>
      <c r="E55" s="0" t="s">
        <v>29</v>
      </c>
      <c r="F55" s="4" t="n">
        <v>0.034</v>
      </c>
      <c r="G55" s="4" t="n">
        <v>0.01</v>
      </c>
      <c r="H55" s="4" t="n">
        <v>-0.042</v>
      </c>
      <c r="I55" s="4" t="n">
        <v>-0.078</v>
      </c>
      <c r="J55" s="4" t="n">
        <v>0.182</v>
      </c>
      <c r="K55" s="4" t="n">
        <v>0.184</v>
      </c>
      <c r="L55" s="4" t="n">
        <v>-0.152</v>
      </c>
      <c r="M55" s="4" t="n">
        <v>-0.144</v>
      </c>
      <c r="N55" s="9" t="n">
        <f aca="false">(F55+G55-H55-I55)/4</f>
        <v>0.041</v>
      </c>
      <c r="O55" s="9" t="n">
        <f aca="false">(1*J55+1*K55-(1)*L55-(1)*M55)/4</f>
        <v>0.1655</v>
      </c>
      <c r="P55" s="9" t="n">
        <f aca="false">IF(O55&lt;&gt;0,N55/O55,"n/a")</f>
        <v>0.24773413897281</v>
      </c>
      <c r="Q55" s="4" t="n">
        <v>0.0982405566394333</v>
      </c>
      <c r="R55" s="5" t="n">
        <f aca="false">IF(ISNUMBER(P55),P55/Q55,"n/a")</f>
        <v>2.52170943902582</v>
      </c>
      <c r="S55" s="6" t="n">
        <v>144</v>
      </c>
      <c r="T55" s="7" t="n">
        <v>3.684</v>
      </c>
    </row>
    <row r="56" customFormat="false" ht="15" hidden="false" customHeight="false" outlineLevel="0" collapsed="false">
      <c r="A56" s="0" t="s">
        <v>33</v>
      </c>
      <c r="B56" s="0" t="n">
        <v>36</v>
      </c>
      <c r="C56" s="0" t="n">
        <v>1</v>
      </c>
      <c r="D56" s="0" t="n">
        <f aca="false">B56*C56</f>
        <v>36</v>
      </c>
      <c r="E56" s="0" t="s">
        <v>30</v>
      </c>
      <c r="F56" s="4" t="n">
        <v>0.022</v>
      </c>
      <c r="G56" s="4" t="n">
        <v>0.054</v>
      </c>
      <c r="H56" s="4" t="n">
        <v>-0.048</v>
      </c>
      <c r="I56" s="4" t="n">
        <v>-0.036</v>
      </c>
      <c r="J56" s="4" t="n">
        <v>0.128</v>
      </c>
      <c r="K56" s="4" t="n">
        <v>0.184</v>
      </c>
      <c r="L56" s="4" t="n">
        <v>-0.222</v>
      </c>
      <c r="M56" s="4" t="n">
        <v>-0.16</v>
      </c>
      <c r="N56" s="9" t="n">
        <f aca="false">(F56+G56-H56-I56)/4</f>
        <v>0.04</v>
      </c>
      <c r="O56" s="9" t="n">
        <f aca="false">(1*J56+1*K56-(1)*L56-(1)*M56)/4</f>
        <v>0.1735</v>
      </c>
      <c r="P56" s="9" t="n">
        <f aca="false">IF(O56&lt;&gt;0,N56/O56,"n/a")</f>
        <v>0.230547550432277</v>
      </c>
      <c r="Q56" s="4" t="n">
        <v>0.0933708471104395</v>
      </c>
      <c r="R56" s="5" t="n">
        <f aca="false">IF(ISNUMBER(P56),P56/Q56,"n/a")</f>
        <v>2.46915988841339</v>
      </c>
      <c r="S56" s="6" t="n">
        <v>86</v>
      </c>
      <c r="T56" s="7" t="n">
        <v>3.336</v>
      </c>
    </row>
    <row r="57" customFormat="false" ht="15" hidden="false" customHeight="false" outlineLevel="0" collapsed="false">
      <c r="A57" s="0" t="s">
        <v>33</v>
      </c>
      <c r="B57" s="0" t="n">
        <v>36</v>
      </c>
      <c r="C57" s="0" t="n">
        <v>2</v>
      </c>
      <c r="D57" s="0" t="n">
        <f aca="false">B57*C57</f>
        <v>72</v>
      </c>
      <c r="E57" s="0" t="s">
        <v>30</v>
      </c>
      <c r="F57" s="4" t="n">
        <v>0.04</v>
      </c>
      <c r="G57" s="4" t="n">
        <v>0.016</v>
      </c>
      <c r="H57" s="4" t="n">
        <v>-0.034</v>
      </c>
      <c r="I57" s="4" t="n">
        <v>-0.026</v>
      </c>
      <c r="J57" s="4" t="n">
        <v>0.168</v>
      </c>
      <c r="K57" s="4" t="n">
        <v>0.22</v>
      </c>
      <c r="L57" s="4" t="n">
        <v>-0.204</v>
      </c>
      <c r="M57" s="4" t="n">
        <v>-0.236</v>
      </c>
      <c r="N57" s="9" t="n">
        <f aca="false">(F57+G57-H57-I57)/4</f>
        <v>0.029</v>
      </c>
      <c r="O57" s="9" t="n">
        <f aca="false">(1*J57+1*K57-(1)*L57-(1)*M57)/4</f>
        <v>0.207</v>
      </c>
      <c r="P57" s="9" t="n">
        <f aca="false">IF(O57&lt;&gt;0,N57/O57,"n/a")</f>
        <v>0.140096618357488</v>
      </c>
      <c r="Q57" s="4" t="n">
        <v>0.0770622864685917</v>
      </c>
      <c r="R57" s="5" t="n">
        <f aca="false">IF(ISNUMBER(P57),P57/Q57,"n/a")</f>
        <v>1.81796602173992</v>
      </c>
      <c r="S57" s="6" t="n">
        <v>172</v>
      </c>
      <c r="T57" s="7" t="n">
        <v>3.916</v>
      </c>
    </row>
    <row r="58" customFormat="false" ht="15" hidden="false" customHeight="false" outlineLevel="0" collapsed="false">
      <c r="A58" s="0" t="s">
        <v>33</v>
      </c>
      <c r="B58" s="0" t="n">
        <v>36</v>
      </c>
      <c r="C58" s="0" t="n">
        <v>4</v>
      </c>
      <c r="D58" s="0" t="n">
        <f aca="false">B58*C58</f>
        <v>144</v>
      </c>
      <c r="E58" s="0" t="s">
        <v>30</v>
      </c>
      <c r="F58" s="4" t="n">
        <v>0.01</v>
      </c>
      <c r="G58" s="4" t="n">
        <v>0.006</v>
      </c>
      <c r="H58" s="4" t="n">
        <v>-0.082</v>
      </c>
      <c r="I58" s="4" t="n">
        <v>-0.01</v>
      </c>
      <c r="J58" s="4" t="n">
        <v>0.222</v>
      </c>
      <c r="K58" s="4" t="n">
        <v>0.204</v>
      </c>
      <c r="L58" s="4" t="n">
        <v>-0.174</v>
      </c>
      <c r="M58" s="4" t="n">
        <v>-0.196</v>
      </c>
      <c r="N58" s="9" t="n">
        <f aca="false">(F58+G58-H58-I58)/4</f>
        <v>0.027</v>
      </c>
      <c r="O58" s="9" t="n">
        <f aca="false">(1*J58+1*K58-(1)*L58-(1)*M58)/4</f>
        <v>0.199</v>
      </c>
      <c r="P58" s="9" t="n">
        <f aca="false">IF(O58&lt;&gt;0,N58/O58,"n/a")</f>
        <v>0.135678391959799</v>
      </c>
      <c r="Q58" s="4" t="n">
        <v>0.0800847288225346</v>
      </c>
      <c r="R58" s="5" t="n">
        <f aca="false">IF(ISNUMBER(P58),P58/Q58,"n/a")</f>
        <v>1.69418557014107</v>
      </c>
      <c r="S58" s="6" t="n">
        <v>344</v>
      </c>
      <c r="T58" s="7" t="n">
        <v>5.076</v>
      </c>
    </row>
    <row r="59" customFormat="false" ht="15" hidden="false" customHeight="false" outlineLevel="0" collapsed="false">
      <c r="A59" s="0" t="s">
        <v>33</v>
      </c>
      <c r="B59" s="0" t="n">
        <v>36</v>
      </c>
      <c r="C59" s="0" t="n">
        <v>1</v>
      </c>
      <c r="D59" s="0" t="n">
        <f aca="false">B59*C59</f>
        <v>36</v>
      </c>
      <c r="E59" s="0" t="s">
        <v>31</v>
      </c>
      <c r="F59" s="4" t="n">
        <v>0.05</v>
      </c>
      <c r="G59" s="4" t="n">
        <v>0.084</v>
      </c>
      <c r="H59" s="4" t="n">
        <v>-0.046</v>
      </c>
      <c r="I59" s="4" t="n">
        <v>-0.06</v>
      </c>
      <c r="J59" s="4" t="n">
        <v>0.222</v>
      </c>
      <c r="K59" s="4" t="n">
        <v>0.18</v>
      </c>
      <c r="L59" s="4" t="n">
        <v>-0.152</v>
      </c>
      <c r="M59" s="4" t="n">
        <v>-0.206</v>
      </c>
      <c r="N59" s="9" t="n">
        <f aca="false">(F59+G59-H59-I59)/4</f>
        <v>0.06</v>
      </c>
      <c r="O59" s="9" t="n">
        <f aca="false">(1*J59+1*K59-(1)*L59-(1)*M59)/4</f>
        <v>0.19</v>
      </c>
      <c r="P59" s="9" t="n">
        <f aca="false">IF(O59&lt;&gt;0,N59/O59,"n/a")</f>
        <v>0.315789473684211</v>
      </c>
      <c r="Q59" s="4" t="n">
        <v>0.0869709804204946</v>
      </c>
      <c r="R59" s="5" t="n">
        <f aca="false">IF(ISNUMBER(P59),P59/Q59,"n/a")</f>
        <v>3.63097520756239</v>
      </c>
      <c r="S59" s="6" t="n">
        <v>36</v>
      </c>
      <c r="T59" s="7" t="n">
        <v>5.352</v>
      </c>
    </row>
    <row r="60" customFormat="false" ht="15" hidden="false" customHeight="false" outlineLevel="0" collapsed="false">
      <c r="A60" s="0" t="s">
        <v>33</v>
      </c>
      <c r="B60" s="0" t="n">
        <v>36</v>
      </c>
      <c r="C60" s="0" t="n">
        <v>2</v>
      </c>
      <c r="D60" s="0" t="n">
        <f aca="false">B60*C60</f>
        <v>72</v>
      </c>
      <c r="E60" s="0" t="s">
        <v>31</v>
      </c>
      <c r="F60" s="4" t="n">
        <v>0.006</v>
      </c>
      <c r="G60" s="4" t="n">
        <v>0.044</v>
      </c>
      <c r="H60" s="4" t="n">
        <v>-0.01</v>
      </c>
      <c r="I60" s="4" t="n">
        <v>-0.064</v>
      </c>
      <c r="J60" s="4" t="n">
        <v>0.194</v>
      </c>
      <c r="K60" s="4" t="n">
        <v>0.258</v>
      </c>
      <c r="L60" s="4" t="n">
        <v>-0.198</v>
      </c>
      <c r="M60" s="4" t="n">
        <v>-0.156</v>
      </c>
      <c r="N60" s="9" t="n">
        <f aca="false">(F60+G60-H60-I60)/4</f>
        <v>0.031</v>
      </c>
      <c r="O60" s="9" t="n">
        <f aca="false">(1*J60+1*K60-(1)*L60-(1)*M60)/4</f>
        <v>0.2015</v>
      </c>
      <c r="P60" s="9" t="n">
        <f aca="false">IF(O60&lt;&gt;0,N60/O60,"n/a")</f>
        <v>0.153846153846154</v>
      </c>
      <c r="Q60" s="4" t="n">
        <v>0.0792932725897845</v>
      </c>
      <c r="R60" s="5" t="n">
        <f aca="false">IF(ISNUMBER(P60),P60/Q60,"n/a")</f>
        <v>1.94021697959247</v>
      </c>
      <c r="S60" s="6" t="n">
        <v>72</v>
      </c>
      <c r="T60" s="7" t="n">
        <v>7.948</v>
      </c>
    </row>
    <row r="61" customFormat="false" ht="15" hidden="false" customHeight="false" outlineLevel="0" collapsed="false">
      <c r="A61" s="0" t="s">
        <v>33</v>
      </c>
      <c r="B61" s="0" t="n">
        <v>36</v>
      </c>
      <c r="C61" s="0" t="n">
        <v>4</v>
      </c>
      <c r="D61" s="0" t="n">
        <f aca="false">B61*C61</f>
        <v>144</v>
      </c>
      <c r="E61" s="0" t="s">
        <v>31</v>
      </c>
      <c r="F61" s="4" t="n">
        <v>-0.014</v>
      </c>
      <c r="G61" s="4" t="n">
        <v>0.042</v>
      </c>
      <c r="H61" s="4" t="n">
        <v>0.04</v>
      </c>
      <c r="I61" s="4" t="n">
        <v>-0.016</v>
      </c>
      <c r="J61" s="4" t="n">
        <v>0.236</v>
      </c>
      <c r="K61" s="4" t="n">
        <v>0.21</v>
      </c>
      <c r="L61" s="4" t="n">
        <v>-0.212</v>
      </c>
      <c r="M61" s="4" t="n">
        <v>-0.19</v>
      </c>
      <c r="N61" s="9" t="n">
        <f aca="false">(F61+G61-H61-I61)/4</f>
        <v>0.001</v>
      </c>
      <c r="O61" s="9" t="n">
        <f aca="false">(1*J61+1*K61-(1)*L61-(1)*M61)/4</f>
        <v>0.212</v>
      </c>
      <c r="P61" s="9" t="n">
        <f aca="false">IF(O61&lt;&gt;0,N61/O61,"n/a")</f>
        <v>0.00471698113207548</v>
      </c>
      <c r="Q61" s="4" t="n">
        <v>0.0745472287583593</v>
      </c>
      <c r="R61" s="5" t="n">
        <f aca="false">IF(ISNUMBER(P61),P61/Q61,"n/a")</f>
        <v>0.0632750701889309</v>
      </c>
      <c r="S61" s="6" t="n">
        <v>144</v>
      </c>
      <c r="T61" s="7" t="n">
        <v>13.14</v>
      </c>
    </row>
    <row r="62" customFormat="false" ht="15" hidden="false" customHeight="false" outlineLevel="0" collapsed="false">
      <c r="A62" s="0" t="s">
        <v>33</v>
      </c>
      <c r="B62" s="0" t="n">
        <v>40</v>
      </c>
      <c r="C62" s="0" t="n">
        <v>1</v>
      </c>
      <c r="D62" s="0" t="n">
        <f aca="false">B62*C62</f>
        <v>40</v>
      </c>
      <c r="E62" s="0" t="s">
        <v>29</v>
      </c>
      <c r="F62" s="4" t="n">
        <v>-0.034</v>
      </c>
      <c r="G62" s="4" t="n">
        <v>-0.01</v>
      </c>
      <c r="H62" s="4" t="n">
        <v>0.004</v>
      </c>
      <c r="I62" s="4" t="n">
        <v>0.032</v>
      </c>
      <c r="J62" s="4" t="n">
        <v>0.054</v>
      </c>
      <c r="K62" s="4" t="n">
        <v>0.116</v>
      </c>
      <c r="L62" s="4" t="n">
        <v>-0.102</v>
      </c>
      <c r="M62" s="4" t="n">
        <v>-0.076</v>
      </c>
      <c r="N62" s="9" t="n">
        <f aca="false">(F62+G62-H62-I62)/4</f>
        <v>-0.02</v>
      </c>
      <c r="O62" s="9" t="n">
        <f aca="false">(1*J62+1*K62-(1)*L62-(1)*M62)/4</f>
        <v>0.087</v>
      </c>
      <c r="P62" s="9" t="n">
        <f aca="false">IF(O62&lt;&gt;0,N62/O62,"n/a")</f>
        <v>-0.229885057471264</v>
      </c>
      <c r="Q62" s="4" t="n">
        <v>0.186391552901593</v>
      </c>
      <c r="R62" s="5" t="n">
        <f aca="false">IF(ISNUMBER(P62),P62/Q62,"n/a")</f>
        <v>-1.23334482648274</v>
      </c>
      <c r="S62" s="6" t="n">
        <v>40</v>
      </c>
      <c r="T62" s="7" t="n">
        <v>2.98</v>
      </c>
    </row>
    <row r="63" customFormat="false" ht="15" hidden="false" customHeight="false" outlineLevel="0" collapsed="false">
      <c r="A63" s="0" t="s">
        <v>33</v>
      </c>
      <c r="B63" s="0" t="n">
        <v>40</v>
      </c>
      <c r="C63" s="0" t="n">
        <v>2</v>
      </c>
      <c r="D63" s="0" t="n">
        <f aca="false">B63*C63</f>
        <v>80</v>
      </c>
      <c r="E63" s="0" t="s">
        <v>29</v>
      </c>
      <c r="F63" s="4" t="n">
        <v>0.044</v>
      </c>
      <c r="G63" s="4" t="n">
        <v>0.016</v>
      </c>
      <c r="H63" s="4" t="n">
        <v>0.032</v>
      </c>
      <c r="I63" s="4" t="n">
        <v>0.02</v>
      </c>
      <c r="J63" s="4" t="n">
        <v>0.062</v>
      </c>
      <c r="K63" s="4" t="n">
        <v>0.1</v>
      </c>
      <c r="L63" s="4" t="n">
        <v>-0.078</v>
      </c>
      <c r="M63" s="4" t="n">
        <v>-0.128</v>
      </c>
      <c r="N63" s="9" t="n">
        <f aca="false">(F63+G63-H63-I63)/4</f>
        <v>0.002</v>
      </c>
      <c r="O63" s="9" t="n">
        <f aca="false">(1*J63+1*K63-(1)*L63-(1)*M63)/4</f>
        <v>0.092</v>
      </c>
      <c r="P63" s="9" t="n">
        <f aca="false">IF(O63&lt;&gt;0,N63/O63,"n/a")</f>
        <v>0.0217391304347826</v>
      </c>
      <c r="Q63" s="4" t="n">
        <v>0.171825471865607</v>
      </c>
      <c r="R63" s="5" t="n">
        <f aca="false">IF(ISNUMBER(P63),P63/Q63,"n/a")</f>
        <v>0.126518671526104</v>
      </c>
      <c r="S63" s="6" t="n">
        <v>80</v>
      </c>
      <c r="T63" s="7" t="n">
        <v>3.204</v>
      </c>
    </row>
    <row r="64" customFormat="false" ht="15" hidden="false" customHeight="false" outlineLevel="0" collapsed="false">
      <c r="A64" s="0" t="s">
        <v>33</v>
      </c>
      <c r="B64" s="0" t="n">
        <v>40</v>
      </c>
      <c r="C64" s="0" t="n">
        <v>4</v>
      </c>
      <c r="D64" s="0" t="n">
        <f aca="false">B64*C64</f>
        <v>160</v>
      </c>
      <c r="E64" s="0" t="s">
        <v>29</v>
      </c>
      <c r="F64" s="4" t="n">
        <v>0.016</v>
      </c>
      <c r="G64" s="4" t="n">
        <v>0.028</v>
      </c>
      <c r="H64" s="4" t="n">
        <v>0.084</v>
      </c>
      <c r="I64" s="4" t="n">
        <v>-0.048</v>
      </c>
      <c r="J64" s="4" t="n">
        <v>0.116</v>
      </c>
      <c r="K64" s="4" t="n">
        <v>0.106</v>
      </c>
      <c r="L64" s="4" t="n">
        <v>-0.066</v>
      </c>
      <c r="M64" s="4" t="n">
        <v>-0.078</v>
      </c>
      <c r="N64" s="9" t="n">
        <f aca="false">(F64+G64-H64-I64)/4</f>
        <v>0.002</v>
      </c>
      <c r="O64" s="9" t="n">
        <f aca="false">(1*J64+1*K64-(1)*L64-(1)*M64)/4</f>
        <v>0.0915</v>
      </c>
      <c r="P64" s="9" t="n">
        <f aca="false">IF(O64&lt;&gt;0,N64/O64,"n/a")</f>
        <v>0.0218579234972677</v>
      </c>
      <c r="Q64" s="4" t="n">
        <v>0.172618234641522</v>
      </c>
      <c r="R64" s="5" t="n">
        <f aca="false">IF(ISNUMBER(P64),P64/Q64,"n/a")</f>
        <v>0.126625808349045</v>
      </c>
      <c r="S64" s="6" t="n">
        <v>160</v>
      </c>
      <c r="T64" s="7" t="n">
        <v>3.652</v>
      </c>
    </row>
    <row r="65" customFormat="false" ht="15" hidden="false" customHeight="false" outlineLevel="0" collapsed="false">
      <c r="A65" s="0" t="s">
        <v>33</v>
      </c>
      <c r="B65" s="0" t="n">
        <v>40</v>
      </c>
      <c r="C65" s="0" t="n">
        <v>1</v>
      </c>
      <c r="D65" s="0" t="n">
        <f aca="false">B65*C65</f>
        <v>40</v>
      </c>
      <c r="E65" s="0" t="s">
        <v>30</v>
      </c>
      <c r="F65" s="4" t="n">
        <v>-0.004</v>
      </c>
      <c r="G65" s="4" t="n">
        <v>-0.026</v>
      </c>
      <c r="H65" s="4" t="n">
        <v>-0.046</v>
      </c>
      <c r="I65" s="4" t="n">
        <v>0.032</v>
      </c>
      <c r="J65" s="4" t="n">
        <v>0.082</v>
      </c>
      <c r="K65" s="4" t="n">
        <v>0.1</v>
      </c>
      <c r="L65" s="4" t="n">
        <v>-0.092</v>
      </c>
      <c r="M65" s="4" t="n">
        <v>-0.102</v>
      </c>
      <c r="N65" s="9" t="n">
        <f aca="false">(F65+G65-H65-I65)/4</f>
        <v>-0.004</v>
      </c>
      <c r="O65" s="9" t="n">
        <f aca="false">(1*J65+1*K65-(1)*L65-(1)*M65)/4</f>
        <v>0.094</v>
      </c>
      <c r="P65" s="9" t="n">
        <f aca="false">IF(O65&lt;&gt;0,N65/O65,"n/a")</f>
        <v>-0.0425531914893617</v>
      </c>
      <c r="Q65" s="4" t="n">
        <v>0.16827660968634</v>
      </c>
      <c r="R65" s="5" t="n">
        <f aca="false">IF(ISNUMBER(P65),P65/Q65,"n/a")</f>
        <v>-0.252876448893753</v>
      </c>
      <c r="S65" s="6" t="n">
        <v>96</v>
      </c>
      <c r="T65" s="7" t="n">
        <v>3.324</v>
      </c>
    </row>
    <row r="66" customFormat="false" ht="15" hidden="false" customHeight="false" outlineLevel="0" collapsed="false">
      <c r="A66" s="0" t="s">
        <v>33</v>
      </c>
      <c r="B66" s="0" t="n">
        <v>40</v>
      </c>
      <c r="C66" s="0" t="n">
        <v>2</v>
      </c>
      <c r="D66" s="0" t="n">
        <f aca="false">B66*C66</f>
        <v>80</v>
      </c>
      <c r="E66" s="0" t="s">
        <v>30</v>
      </c>
      <c r="F66" s="4" t="n">
        <v>-0.028</v>
      </c>
      <c r="G66" s="4" t="n">
        <v>-0.028</v>
      </c>
      <c r="H66" s="4" t="n">
        <v>0.014</v>
      </c>
      <c r="I66" s="4" t="n">
        <v>-0.03</v>
      </c>
      <c r="J66" s="4" t="n">
        <v>0.122</v>
      </c>
      <c r="K66" s="4" t="n">
        <v>0.078</v>
      </c>
      <c r="L66" s="4" t="n">
        <v>-0.092</v>
      </c>
      <c r="M66" s="4" t="n">
        <v>-0.044</v>
      </c>
      <c r="N66" s="9" t="n">
        <f aca="false">(F66+G66-H66-I66)/4</f>
        <v>-0.01</v>
      </c>
      <c r="O66" s="9" t="n">
        <f aca="false">(1*J66+1*K66-(1)*L66-(1)*M66)/4</f>
        <v>0.084</v>
      </c>
      <c r="P66" s="9" t="n">
        <f aca="false">IF(O66&lt;&gt;0,N66/O66,"n/a")</f>
        <v>-0.119047619047619</v>
      </c>
      <c r="Q66" s="4" t="n">
        <v>0.189487313665821</v>
      </c>
      <c r="R66" s="5" t="n">
        <f aca="false">IF(ISNUMBER(P66),P66/Q66,"n/a")</f>
        <v>-0.628261685410617</v>
      </c>
      <c r="S66" s="6" t="n">
        <v>192</v>
      </c>
      <c r="T66" s="7" t="n">
        <v>3.892</v>
      </c>
    </row>
    <row r="67" customFormat="false" ht="15" hidden="false" customHeight="false" outlineLevel="0" collapsed="false">
      <c r="A67" s="0" t="s">
        <v>33</v>
      </c>
      <c r="B67" s="0" t="n">
        <v>40</v>
      </c>
      <c r="C67" s="0" t="n">
        <v>4</v>
      </c>
      <c r="D67" s="0" t="n">
        <f aca="false">B67*C67</f>
        <v>160</v>
      </c>
      <c r="E67" s="0" t="s">
        <v>30</v>
      </c>
      <c r="F67" s="4" t="n">
        <v>0.086</v>
      </c>
      <c r="G67" s="4" t="n">
        <v>-0.082</v>
      </c>
      <c r="H67" s="4" t="n">
        <v>0.03</v>
      </c>
      <c r="I67" s="4" t="n">
        <v>0.02</v>
      </c>
      <c r="J67" s="4" t="n">
        <v>0.09</v>
      </c>
      <c r="K67" s="4" t="n">
        <v>0.084</v>
      </c>
      <c r="L67" s="4" t="n">
        <v>-0.084</v>
      </c>
      <c r="M67" s="4" t="n">
        <v>-0.07</v>
      </c>
      <c r="N67" s="9" t="n">
        <f aca="false">(F67+G67-H67-I67)/4</f>
        <v>-0.0115</v>
      </c>
      <c r="O67" s="9" t="n">
        <f aca="false">(1*J67+1*K67-(1)*L67-(1)*M67)/4</f>
        <v>0.082</v>
      </c>
      <c r="P67" s="9" t="n">
        <f aca="false">IF(O67&lt;&gt;0,N67/O67,"n/a")</f>
        <v>-0.140243902439024</v>
      </c>
      <c r="Q67" s="4" t="n">
        <v>0.194327655415134</v>
      </c>
      <c r="R67" s="5" t="n">
        <f aca="false">IF(ISNUMBER(P67),P67/Q67,"n/a")</f>
        <v>-0.721687822247572</v>
      </c>
      <c r="S67" s="6" t="n">
        <v>384</v>
      </c>
      <c r="T67" s="7" t="n">
        <v>5.028</v>
      </c>
    </row>
    <row r="68" customFormat="false" ht="15" hidden="false" customHeight="false" outlineLevel="0" collapsed="false">
      <c r="A68" s="0" t="s">
        <v>33</v>
      </c>
      <c r="B68" s="0" t="n">
        <v>40</v>
      </c>
      <c r="C68" s="0" t="n">
        <v>1</v>
      </c>
      <c r="D68" s="0" t="n">
        <f aca="false">B68*C68</f>
        <v>40</v>
      </c>
      <c r="E68" s="0" t="s">
        <v>31</v>
      </c>
      <c r="F68" s="4" t="n">
        <v>-0.034</v>
      </c>
      <c r="G68" s="4" t="n">
        <v>-0.004</v>
      </c>
      <c r="H68" s="4" t="n">
        <v>-0.052</v>
      </c>
      <c r="I68" s="4" t="n">
        <v>0.008</v>
      </c>
      <c r="J68" s="4" t="n">
        <v>0.034</v>
      </c>
      <c r="K68" s="4" t="n">
        <v>0.06</v>
      </c>
      <c r="L68" s="4" t="n">
        <v>-0.07</v>
      </c>
      <c r="M68" s="4" t="n">
        <v>-0.078</v>
      </c>
      <c r="N68" s="9" t="n">
        <f aca="false">(F68+G68-H68-I68)/4</f>
        <v>0.0015</v>
      </c>
      <c r="O68" s="9" t="n">
        <f aca="false">(1*J68+1*K68-(1)*L68-(1)*M68)/4</f>
        <v>0.0605</v>
      </c>
      <c r="P68" s="9" t="n">
        <f aca="false">IF(O68&lt;&gt;0,N68/O68,"n/a")</f>
        <v>0.024793388429752</v>
      </c>
      <c r="Q68" s="4" t="n">
        <v>0.261296554056466</v>
      </c>
      <c r="R68" s="5" t="n">
        <f aca="false">IF(ISNUMBER(P68),P68/Q68,"n/a")</f>
        <v>0.0948860137833819</v>
      </c>
      <c r="S68" s="6" t="n">
        <v>40</v>
      </c>
      <c r="T68" s="7" t="n">
        <v>5.608</v>
      </c>
    </row>
    <row r="69" customFormat="false" ht="15" hidden="false" customHeight="false" outlineLevel="0" collapsed="false">
      <c r="A69" s="0" t="s">
        <v>33</v>
      </c>
      <c r="B69" s="0" t="n">
        <v>40</v>
      </c>
      <c r="C69" s="0" t="n">
        <v>2</v>
      </c>
      <c r="D69" s="0" t="n">
        <f aca="false">B69*C69</f>
        <v>80</v>
      </c>
      <c r="E69" s="0" t="s">
        <v>31</v>
      </c>
      <c r="F69" s="4" t="n">
        <v>-0.008</v>
      </c>
      <c r="G69" s="4" t="n">
        <v>0</v>
      </c>
      <c r="H69" s="4" t="n">
        <v>0.062</v>
      </c>
      <c r="I69" s="4" t="n">
        <v>-0.052</v>
      </c>
      <c r="J69" s="4" t="n">
        <v>0.062</v>
      </c>
      <c r="K69" s="4" t="n">
        <v>0.05</v>
      </c>
      <c r="L69" s="4" t="n">
        <v>-0.058</v>
      </c>
      <c r="M69" s="4" t="n">
        <v>-0.106</v>
      </c>
      <c r="N69" s="9" t="n">
        <f aca="false">(F69+G69-H69-I69)/4</f>
        <v>-0.0045</v>
      </c>
      <c r="O69" s="9" t="n">
        <f aca="false">(1*J69+1*K69-(1)*L69-(1)*M69)/4</f>
        <v>0.069</v>
      </c>
      <c r="P69" s="9" t="n">
        <f aca="false">IF(O69&lt;&gt;0,N69/O69,"n/a")</f>
        <v>-0.0652173913043479</v>
      </c>
      <c r="Q69" s="4" t="n">
        <v>0.229445744352126</v>
      </c>
      <c r="R69" s="5" t="n">
        <f aca="false">IF(ISNUMBER(P69),P69/Q69,"n/a")</f>
        <v>-0.284238836019812</v>
      </c>
      <c r="S69" s="6" t="n">
        <v>80</v>
      </c>
      <c r="T69" s="7" t="n">
        <v>8.46</v>
      </c>
    </row>
    <row r="70" customFormat="false" ht="15" hidden="false" customHeight="false" outlineLevel="0" collapsed="false">
      <c r="A70" s="0" t="s">
        <v>33</v>
      </c>
      <c r="B70" s="0" t="n">
        <v>40</v>
      </c>
      <c r="C70" s="0" t="n">
        <v>4</v>
      </c>
      <c r="D70" s="0" t="n">
        <f aca="false">B70*C70</f>
        <v>160</v>
      </c>
      <c r="E70" s="0" t="s">
        <v>31</v>
      </c>
      <c r="F70" s="4" t="n">
        <v>-0.052</v>
      </c>
      <c r="G70" s="4" t="n">
        <v>-0.008</v>
      </c>
      <c r="H70" s="4" t="n">
        <v>-0.032</v>
      </c>
      <c r="I70" s="4" t="n">
        <v>0.016</v>
      </c>
      <c r="J70" s="4" t="n">
        <v>0.132</v>
      </c>
      <c r="K70" s="4" t="n">
        <v>0.09</v>
      </c>
      <c r="L70" s="4" t="n">
        <v>-0.066</v>
      </c>
      <c r="M70" s="4" t="n">
        <v>-0.122</v>
      </c>
      <c r="N70" s="9" t="n">
        <f aca="false">(F70+G70-H70-I70)/4</f>
        <v>-0.011</v>
      </c>
      <c r="O70" s="9" t="n">
        <f aca="false">(1*J70+1*K70-(1)*L70-(1)*M70)/4</f>
        <v>0.1025</v>
      </c>
      <c r="P70" s="9" t="n">
        <f aca="false">IF(O70&lt;&gt;0,N70/O70,"n/a")</f>
        <v>-0.107317073170732</v>
      </c>
      <c r="Q70" s="4" t="n">
        <v>0.155055674440869</v>
      </c>
      <c r="R70" s="5" t="n">
        <f aca="false">IF(ISNUMBER(P70),P70/Q70,"n/a")</f>
        <v>-0.692119611602201</v>
      </c>
      <c r="S70" s="6" t="n">
        <v>160</v>
      </c>
      <c r="T70" s="7" t="n">
        <v>14.164</v>
      </c>
    </row>
    <row r="71" customFormat="false" ht="15" hidden="false" customHeight="false" outlineLevel="0" collapsed="false">
      <c r="A71" s="0" t="s">
        <v>33</v>
      </c>
      <c r="B71" s="0" t="n">
        <v>72</v>
      </c>
      <c r="C71" s="0" t="n">
        <v>1</v>
      </c>
      <c r="D71" s="0" t="n">
        <f aca="false">B71*C71</f>
        <v>72</v>
      </c>
      <c r="E71" s="0" t="s">
        <v>29</v>
      </c>
      <c r="F71" s="4" t="n">
        <v>0.028</v>
      </c>
      <c r="G71" s="4" t="n">
        <v>-0.032</v>
      </c>
      <c r="H71" s="4" t="n">
        <v>0.008</v>
      </c>
      <c r="I71" s="4" t="n">
        <v>0.01</v>
      </c>
      <c r="J71" s="4" t="n">
        <v>-0.066</v>
      </c>
      <c r="K71" s="4" t="n">
        <v>0.026</v>
      </c>
      <c r="L71" s="4" t="n">
        <v>-0.052</v>
      </c>
      <c r="M71" s="4" t="n">
        <v>0.046</v>
      </c>
      <c r="N71" s="9" t="n">
        <f aca="false">(F71+G71-H71-I71)/4</f>
        <v>-0.0055</v>
      </c>
      <c r="O71" s="9" t="n">
        <f aca="false">(1*J71+1*K71-(1)*L71-(1)*M71)/4</f>
        <v>-0.0085</v>
      </c>
      <c r="P71" s="9" t="n">
        <f aca="false">IF(O71&lt;&gt;0,N71/O71,"n/a")</f>
        <v>0.647058823529412</v>
      </c>
      <c r="Q71" s="4" t="n">
        <v>2.21442338613436</v>
      </c>
      <c r="R71" s="5" t="n">
        <f aca="false">IF(ISNUMBER(P71),P71/Q71,"n/a")</f>
        <v>0.29220194637619</v>
      </c>
      <c r="S71" s="6" t="n">
        <v>72</v>
      </c>
      <c r="T71" s="7" t="n">
        <v>2.98</v>
      </c>
    </row>
    <row r="72" customFormat="false" ht="15" hidden="false" customHeight="false" outlineLevel="0" collapsed="false">
      <c r="A72" s="0" t="s">
        <v>33</v>
      </c>
      <c r="B72" s="0" t="n">
        <v>72</v>
      </c>
      <c r="C72" s="0" t="n">
        <v>2</v>
      </c>
      <c r="D72" s="0" t="n">
        <f aca="false">B72*C72</f>
        <v>144</v>
      </c>
      <c r="E72" s="0" t="s">
        <v>29</v>
      </c>
      <c r="F72" s="4" t="n">
        <v>0.01</v>
      </c>
      <c r="G72" s="4" t="n">
        <v>-0.034</v>
      </c>
      <c r="H72" s="4" t="n">
        <v>0.016</v>
      </c>
      <c r="I72" s="4" t="n">
        <v>-0.012</v>
      </c>
      <c r="J72" s="4" t="n">
        <v>-0.016</v>
      </c>
      <c r="K72" s="4" t="n">
        <v>0.046</v>
      </c>
      <c r="L72" s="4" t="n">
        <v>0.016</v>
      </c>
      <c r="M72" s="4" t="n">
        <v>-0.006</v>
      </c>
      <c r="N72" s="9" t="n">
        <f aca="false">(F72+G72-H72-I72)/4</f>
        <v>-0.007</v>
      </c>
      <c r="O72" s="9" t="n">
        <f aca="false">(1*J72+1*K72-(1)*L72-(1)*M72)/4</f>
        <v>0.005</v>
      </c>
      <c r="P72" s="9" t="n">
        <f aca="false">IF(O72&lt;&gt;0,N72/O72,"n/a")</f>
        <v>-1.4</v>
      </c>
      <c r="Q72" s="4" t="n">
        <v>5.43900785070219</v>
      </c>
      <c r="R72" s="5" t="n">
        <f aca="false">IF(ISNUMBER(P72),P72/Q72,"n/a")</f>
        <v>-0.257399885866916</v>
      </c>
      <c r="S72" s="6" t="n">
        <v>144</v>
      </c>
      <c r="T72" s="7" t="n">
        <v>3.204</v>
      </c>
    </row>
    <row r="73" customFormat="false" ht="15" hidden="false" customHeight="false" outlineLevel="0" collapsed="false">
      <c r="A73" s="0" t="s">
        <v>33</v>
      </c>
      <c r="B73" s="0" t="n">
        <v>72</v>
      </c>
      <c r="C73" s="0" t="n">
        <v>4</v>
      </c>
      <c r="D73" s="0" t="n">
        <f aca="false">B73*C73</f>
        <v>288</v>
      </c>
      <c r="E73" s="0" t="s">
        <v>29</v>
      </c>
      <c r="F73" s="4" t="n">
        <v>-0.008</v>
      </c>
      <c r="G73" s="4" t="n">
        <v>0.044</v>
      </c>
      <c r="H73" s="4" t="n">
        <v>0</v>
      </c>
      <c r="I73" s="4" t="n">
        <v>0.028</v>
      </c>
      <c r="J73" s="4" t="n">
        <v>-0.024</v>
      </c>
      <c r="K73" s="4" t="n">
        <v>0.02</v>
      </c>
      <c r="L73" s="4" t="n">
        <v>-0.044</v>
      </c>
      <c r="M73" s="4" t="n">
        <v>0.044</v>
      </c>
      <c r="N73" s="9" t="n">
        <f aca="false">(F73+G73-H73-I73)/4</f>
        <v>0.002</v>
      </c>
      <c r="O73" s="9" t="n">
        <f aca="false">(1*J73+1*K73-(1)*L73-(1)*M73)/4</f>
        <v>-0.001</v>
      </c>
      <c r="P73" s="9" t="n">
        <f aca="false">IF(O73&lt;&gt;0,N73/O73,"n/a")</f>
        <v>-2</v>
      </c>
      <c r="Q73" s="4" t="n">
        <v>35.3357326229413</v>
      </c>
      <c r="R73" s="5" t="n">
        <f aca="false">IF(ISNUMBER(P73),P73/Q73,"n/a")</f>
        <v>-0.0565999301993111</v>
      </c>
      <c r="S73" s="6" t="n">
        <v>288</v>
      </c>
      <c r="T73" s="7" t="n">
        <v>3.652</v>
      </c>
    </row>
    <row r="74" customFormat="false" ht="15" hidden="false" customHeight="false" outlineLevel="0" collapsed="false">
      <c r="A74" s="0" t="s">
        <v>33</v>
      </c>
      <c r="B74" s="0" t="n">
        <v>72</v>
      </c>
      <c r="C74" s="0" t="n">
        <v>1</v>
      </c>
      <c r="D74" s="0" t="n">
        <f aca="false">B74*C74</f>
        <v>72</v>
      </c>
      <c r="E74" s="0" t="s">
        <v>30</v>
      </c>
      <c r="F74" s="4" t="n">
        <v>0.018</v>
      </c>
      <c r="G74" s="4" t="n">
        <v>0.07</v>
      </c>
      <c r="H74" s="4" t="n">
        <v>0.016</v>
      </c>
      <c r="I74" s="4" t="n">
        <v>0.06</v>
      </c>
      <c r="J74" s="4" t="n">
        <v>0.034</v>
      </c>
      <c r="K74" s="4" t="n">
        <v>0.038</v>
      </c>
      <c r="L74" s="4" t="n">
        <v>-0.006</v>
      </c>
      <c r="M74" s="4" t="n">
        <v>-0.04</v>
      </c>
      <c r="N74" s="9" t="n">
        <f aca="false">(F74+G74-H74-I74)/4</f>
        <v>0.003</v>
      </c>
      <c r="O74" s="9" t="n">
        <f aca="false">(1*J74+1*K74-(1)*L74-(1)*M74)/4</f>
        <v>0.0295</v>
      </c>
      <c r="P74" s="9" t="n">
        <f aca="false">IF(O74&lt;&gt;0,N74/O74,"n/a")</f>
        <v>0.101694915254237</v>
      </c>
      <c r="Q74" s="4" t="n">
        <v>0.53813516715939</v>
      </c>
      <c r="R74" s="5" t="n">
        <f aca="false">IF(ISNUMBER(P74),P74/Q74,"n/a")</f>
        <v>0.188976527572145</v>
      </c>
      <c r="S74" s="6" t="n">
        <v>176</v>
      </c>
      <c r="T74" s="7" t="n">
        <v>3.308</v>
      </c>
    </row>
    <row r="75" customFormat="false" ht="15" hidden="false" customHeight="false" outlineLevel="0" collapsed="false">
      <c r="A75" s="0" t="s">
        <v>33</v>
      </c>
      <c r="B75" s="0" t="n">
        <v>72</v>
      </c>
      <c r="C75" s="0" t="n">
        <v>2</v>
      </c>
      <c r="D75" s="0" t="n">
        <f aca="false">B75*C75</f>
        <v>144</v>
      </c>
      <c r="E75" s="0" t="s">
        <v>30</v>
      </c>
      <c r="F75" s="4" t="n">
        <v>-0.02</v>
      </c>
      <c r="G75" s="4" t="n">
        <v>-0.024</v>
      </c>
      <c r="H75" s="4" t="n">
        <v>-0.03</v>
      </c>
      <c r="I75" s="4" t="n">
        <v>-0.036</v>
      </c>
      <c r="J75" s="4" t="n">
        <v>0.016</v>
      </c>
      <c r="K75" s="4" t="n">
        <v>0.038</v>
      </c>
      <c r="L75" s="4" t="n">
        <v>-0.002</v>
      </c>
      <c r="M75" s="4" t="n">
        <v>-0.016</v>
      </c>
      <c r="N75" s="9" t="n">
        <f aca="false">(F75+G75-H75-I75)/4</f>
        <v>0.0055</v>
      </c>
      <c r="O75" s="9" t="n">
        <f aca="false">(1*J75+1*K75-(1)*L75-(1)*M75)/4</f>
        <v>0.018</v>
      </c>
      <c r="P75" s="9" t="n">
        <f aca="false">IF(O75&lt;&gt;0,N75/O75,"n/a")</f>
        <v>0.305555555555556</v>
      </c>
      <c r="Q75" s="4" t="n">
        <v>0.91814924260327</v>
      </c>
      <c r="R75" s="5" t="n">
        <f aca="false">IF(ISNUMBER(P75),P75/Q75,"n/a")</f>
        <v>0.332795085349306</v>
      </c>
      <c r="S75" s="6" t="n">
        <v>352</v>
      </c>
      <c r="T75" s="7" t="n">
        <v>3.86</v>
      </c>
    </row>
    <row r="76" customFormat="false" ht="15" hidden="false" customHeight="false" outlineLevel="0" collapsed="false">
      <c r="A76" s="0" t="s">
        <v>33</v>
      </c>
      <c r="B76" s="0" t="n">
        <v>72</v>
      </c>
      <c r="C76" s="0" t="n">
        <v>4</v>
      </c>
      <c r="D76" s="0" t="n">
        <f aca="false">B76*C76</f>
        <v>288</v>
      </c>
      <c r="E76" s="0" t="s">
        <v>30</v>
      </c>
      <c r="F76" s="4" t="n">
        <v>0.012</v>
      </c>
      <c r="G76" s="4" t="n">
        <v>-0.006</v>
      </c>
      <c r="H76" s="4" t="n">
        <v>0.02</v>
      </c>
      <c r="I76" s="4" t="n">
        <v>-0.104</v>
      </c>
      <c r="J76" s="4" t="n">
        <v>0.056</v>
      </c>
      <c r="K76" s="4" t="n">
        <v>0.022</v>
      </c>
      <c r="L76" s="4" t="n">
        <v>0.022</v>
      </c>
      <c r="M76" s="4" t="n">
        <v>0.044</v>
      </c>
      <c r="N76" s="9" t="n">
        <f aca="false">(F76+G76-H76-I76)/4</f>
        <v>0.0225</v>
      </c>
      <c r="O76" s="9" t="n">
        <f aca="false">(1*J76+1*K76-(1)*L76-(1)*M76)/4</f>
        <v>0.003</v>
      </c>
      <c r="P76" s="9" t="n">
        <f aca="false">IF(O76&lt;&gt;0,N76/O76,"n/a")</f>
        <v>7.5</v>
      </c>
      <c r="Q76" s="4" t="n">
        <v>39.8477008607634</v>
      </c>
      <c r="R76" s="5" t="n">
        <f aca="false">IF(ISNUMBER(P76),P76/Q76,"n/a")</f>
        <v>0.188216630771412</v>
      </c>
      <c r="S76" s="6" t="n">
        <v>704</v>
      </c>
      <c r="T76" s="7" t="n">
        <v>4.964</v>
      </c>
    </row>
    <row r="77" customFormat="false" ht="15" hidden="false" customHeight="false" outlineLevel="0" collapsed="false">
      <c r="A77" s="0" t="s">
        <v>33</v>
      </c>
      <c r="B77" s="0" t="n">
        <v>72</v>
      </c>
      <c r="C77" s="0" t="n">
        <v>1</v>
      </c>
      <c r="D77" s="0" t="n">
        <f aca="false">B77*C77</f>
        <v>72</v>
      </c>
      <c r="E77" s="0" t="s">
        <v>31</v>
      </c>
      <c r="F77" s="4" t="n">
        <v>-0.038</v>
      </c>
      <c r="G77" s="4" t="n">
        <v>0.048</v>
      </c>
      <c r="H77" s="4" t="n">
        <v>0.002</v>
      </c>
      <c r="I77" s="4" t="n">
        <v>-0.006</v>
      </c>
      <c r="J77" s="4" t="n">
        <v>-0.052</v>
      </c>
      <c r="K77" s="4" t="n">
        <v>0.006</v>
      </c>
      <c r="L77" s="4" t="n">
        <v>-0.014</v>
      </c>
      <c r="M77" s="4" t="n">
        <v>-0.068</v>
      </c>
      <c r="N77" s="9" t="n">
        <f aca="false">(F77+G77-H77-I77)/4</f>
        <v>0.0035</v>
      </c>
      <c r="O77" s="9" t="n">
        <f aca="false">(1*J77+1*K77-(1)*L77-(1)*M77)/4</f>
        <v>0.009</v>
      </c>
      <c r="P77" s="9" t="n">
        <f aca="false">IF(O77&lt;&gt;0,N77/O77,"n/a")</f>
        <v>0.388888888888889</v>
      </c>
      <c r="Q77" s="4" t="n">
        <v>1.88398197169029</v>
      </c>
      <c r="R77" s="5" t="n">
        <f aca="false">IF(ISNUMBER(P77),P77/Q77,"n/a")</f>
        <v>0.206418582944285</v>
      </c>
      <c r="S77" s="6" t="n">
        <v>72</v>
      </c>
      <c r="T77" s="7" t="n">
        <v>7.812</v>
      </c>
    </row>
    <row r="78" customFormat="false" ht="15" hidden="false" customHeight="false" outlineLevel="0" collapsed="false">
      <c r="A78" s="0" t="s">
        <v>33</v>
      </c>
      <c r="B78" s="0" t="n">
        <v>72</v>
      </c>
      <c r="C78" s="0" t="n">
        <v>2</v>
      </c>
      <c r="D78" s="0" t="n">
        <f aca="false">B78*C78</f>
        <v>144</v>
      </c>
      <c r="E78" s="0" t="s">
        <v>31</v>
      </c>
      <c r="F78" s="4" t="n">
        <v>-0.032</v>
      </c>
      <c r="G78" s="4" t="n">
        <v>0.022</v>
      </c>
      <c r="H78" s="4" t="n">
        <v>-0.014</v>
      </c>
      <c r="I78" s="4" t="n">
        <v>-0.006</v>
      </c>
      <c r="J78" s="4" t="n">
        <v>0</v>
      </c>
      <c r="K78" s="4" t="n">
        <v>-0.002</v>
      </c>
      <c r="L78" s="4" t="n">
        <v>-0.022</v>
      </c>
      <c r="M78" s="4" t="n">
        <v>-0.048</v>
      </c>
      <c r="N78" s="9" t="n">
        <f aca="false">(F78+G78-H78-I78)/4</f>
        <v>0.0025</v>
      </c>
      <c r="O78" s="9" t="n">
        <f aca="false">(1*J78+1*K78-(1)*L78-(1)*M78)/4</f>
        <v>0.017</v>
      </c>
      <c r="P78" s="9" t="n">
        <f aca="false">IF(O78&lt;&gt;0,N78/O78,"n/a")</f>
        <v>0.147058823529412</v>
      </c>
      <c r="Q78" s="4" t="n">
        <v>0.939877873619863</v>
      </c>
      <c r="R78" s="5" t="n">
        <f aca="false">IF(ISNUMBER(P78),P78/Q78,"n/a")</f>
        <v>0.156465885257014</v>
      </c>
      <c r="S78" s="6" t="n">
        <v>144</v>
      </c>
      <c r="T78" s="7" t="n">
        <v>12.868</v>
      </c>
    </row>
    <row r="79" customFormat="false" ht="15" hidden="false" customHeight="false" outlineLevel="0" collapsed="false">
      <c r="A79" s="0" t="s">
        <v>33</v>
      </c>
      <c r="B79" s="0" t="n">
        <v>72</v>
      </c>
      <c r="C79" s="0" t="n">
        <v>4</v>
      </c>
      <c r="D79" s="0" t="n">
        <f aca="false">B79*C79</f>
        <v>288</v>
      </c>
      <c r="E79" s="0" t="s">
        <v>31</v>
      </c>
      <c r="F79" s="4" t="n">
        <v>-0.006</v>
      </c>
      <c r="G79" s="4" t="n">
        <v>-0.006</v>
      </c>
      <c r="H79" s="4" t="n">
        <v>0.028</v>
      </c>
      <c r="I79" s="4" t="n">
        <v>-0.046</v>
      </c>
      <c r="J79" s="4" t="n">
        <v>0.012</v>
      </c>
      <c r="K79" s="4" t="n">
        <v>0.026</v>
      </c>
      <c r="L79" s="4" t="n">
        <v>0</v>
      </c>
      <c r="M79" s="4" t="n">
        <v>-0.018</v>
      </c>
      <c r="N79" s="9" t="n">
        <f aca="false">(F79+G79-H79-I79)/4</f>
        <v>0.0015</v>
      </c>
      <c r="O79" s="9" t="n">
        <f aca="false">(1*J79+1*K79-(1)*L79-(1)*M79)/4</f>
        <v>0.014</v>
      </c>
      <c r="P79" s="9" t="n">
        <f aca="false">IF(O79&lt;&gt;0,N79/O79,"n/a")</f>
        <v>0.107142857142857</v>
      </c>
      <c r="Q79" s="4" t="n">
        <v>1.13542971989384</v>
      </c>
      <c r="R79" s="5" t="n">
        <f aca="false">IF(ISNUMBER(P79),P79/Q79,"n/a")</f>
        <v>0.0943632664053173</v>
      </c>
      <c r="S79" s="6" t="n">
        <v>288</v>
      </c>
      <c r="T79" s="7" t="n">
        <v>22.98</v>
      </c>
    </row>
    <row r="80" customFormat="false" ht="15" hidden="false" customHeight="false" outlineLevel="0" collapsed="false">
      <c r="A80" s="0" t="s">
        <v>33</v>
      </c>
      <c r="B80" s="0" t="n">
        <v>96</v>
      </c>
      <c r="C80" s="0" t="n">
        <v>1</v>
      </c>
      <c r="D80" s="0" t="n">
        <f aca="false">B80*C80</f>
        <v>96</v>
      </c>
      <c r="E80" s="0" t="s">
        <v>29</v>
      </c>
      <c r="F80" s="4" t="n">
        <v>-0.015</v>
      </c>
      <c r="G80" s="4" t="n">
        <v>0.0175</v>
      </c>
      <c r="H80" s="4" t="n">
        <v>-0.0035</v>
      </c>
      <c r="I80" s="4" t="n">
        <v>-0.012</v>
      </c>
      <c r="J80" s="4" t="n">
        <v>0.02</v>
      </c>
      <c r="K80" s="4" t="n">
        <v>-0.0075</v>
      </c>
      <c r="L80" s="4" t="n">
        <v>-0.016</v>
      </c>
      <c r="M80" s="4" t="n">
        <v>0.0105</v>
      </c>
      <c r="N80" s="9" t="n">
        <f aca="false">(F80+G80-H80-I80)/4</f>
        <v>0.0045</v>
      </c>
      <c r="O80" s="9" t="n">
        <f aca="false">(1*J80+1*K80-(1)*L80-(1)*M80)/4</f>
        <v>0.0045</v>
      </c>
      <c r="P80" s="9" t="n">
        <f aca="false">IF(O80&lt;&gt;0,N80/O80,"n/a")</f>
        <v>1</v>
      </c>
      <c r="Q80" s="4" t="n">
        <v>2.48428548736172</v>
      </c>
      <c r="R80" s="5" t="n">
        <f aca="false">IF(ISNUMBER(P80),P80/Q80,"n/a")</f>
        <v>0.402530226532856</v>
      </c>
      <c r="S80" s="6" t="n">
        <v>96</v>
      </c>
      <c r="T80" s="7" t="n">
        <v>2.988</v>
      </c>
    </row>
    <row r="81" customFormat="false" ht="15" hidden="false" customHeight="false" outlineLevel="0" collapsed="false">
      <c r="A81" s="0" t="s">
        <v>33</v>
      </c>
      <c r="B81" s="0" t="n">
        <v>96</v>
      </c>
      <c r="C81" s="0" t="n">
        <v>2</v>
      </c>
      <c r="D81" s="0" t="n">
        <f aca="false">B81*C81</f>
        <v>192</v>
      </c>
      <c r="E81" s="0" t="s">
        <v>29</v>
      </c>
      <c r="F81" s="4" t="n">
        <v>0.0005</v>
      </c>
      <c r="G81" s="4" t="n">
        <v>0.0055</v>
      </c>
      <c r="H81" s="4" t="n">
        <v>0.0085</v>
      </c>
      <c r="I81" s="4" t="n">
        <v>0.014</v>
      </c>
      <c r="J81" s="4" t="n">
        <v>-0.0155</v>
      </c>
      <c r="K81" s="4" t="n">
        <v>-0.004</v>
      </c>
      <c r="L81" s="4" t="n">
        <v>0.0175</v>
      </c>
      <c r="M81" s="4" t="n">
        <v>-0.013</v>
      </c>
      <c r="N81" s="9" t="n">
        <f aca="false">(F81+G81-H81-I81)/4</f>
        <v>-0.004125</v>
      </c>
      <c r="O81" s="9" t="n">
        <f aca="false">(1*J81+1*K81-(1)*L81-(1)*M81)/4</f>
        <v>-0.006</v>
      </c>
      <c r="P81" s="9" t="n">
        <f aca="false">IF(O81&lt;&gt;0,N81/O81,"n/a")</f>
        <v>0.6875</v>
      </c>
      <c r="Q81" s="4" t="n">
        <v>1.59887934141922</v>
      </c>
      <c r="R81" s="5" t="n">
        <f aca="false">IF(ISNUMBER(P81),P81/Q81,"n/a")</f>
        <v>0.429988669057261</v>
      </c>
      <c r="S81" s="6" t="n">
        <v>192</v>
      </c>
      <c r="T81" s="7" t="n">
        <v>3.22</v>
      </c>
    </row>
    <row r="82" customFormat="false" ht="15" hidden="false" customHeight="false" outlineLevel="0" collapsed="false">
      <c r="A82" s="0" t="s">
        <v>33</v>
      </c>
      <c r="B82" s="0" t="n">
        <v>96</v>
      </c>
      <c r="C82" s="0" t="n">
        <v>1</v>
      </c>
      <c r="D82" s="0" t="n">
        <f aca="false">B82*C82</f>
        <v>96</v>
      </c>
      <c r="E82" s="0" t="s">
        <v>30</v>
      </c>
      <c r="F82" s="4" t="n">
        <v>-0.013</v>
      </c>
      <c r="G82" s="4" t="n">
        <v>-0.007</v>
      </c>
      <c r="H82" s="4" t="n">
        <v>0.0235</v>
      </c>
      <c r="I82" s="4" t="n">
        <v>0.014</v>
      </c>
      <c r="J82" s="4" t="n">
        <v>-0.006</v>
      </c>
      <c r="K82" s="4" t="n">
        <v>-0.0105</v>
      </c>
      <c r="L82" s="4" t="n">
        <v>0.0345</v>
      </c>
      <c r="M82" s="4" t="n">
        <v>-0.0115</v>
      </c>
      <c r="N82" s="9" t="n">
        <f aca="false">(F82+G82-H82-I82)/4</f>
        <v>-0.014375</v>
      </c>
      <c r="O82" s="9" t="n">
        <f aca="false">(1*J82+1*K82-(1)*L82-(1)*M82)/4</f>
        <v>-0.009875</v>
      </c>
      <c r="P82" s="9" t="n">
        <f aca="false">IF(O82&lt;&gt;0,N82/O82,"n/a")</f>
        <v>1.45569620253165</v>
      </c>
      <c r="Q82" s="4" t="n">
        <v>1.41365415244499</v>
      </c>
      <c r="R82" s="5" t="n">
        <f aca="false">IF(ISNUMBER(P82),P82/Q82,"n/a")</f>
        <v>1.02973998273478</v>
      </c>
      <c r="S82" s="6" t="n">
        <v>236</v>
      </c>
      <c r="T82" s="7" t="n">
        <v>3.336</v>
      </c>
    </row>
    <row r="83" customFormat="false" ht="15" hidden="false" customHeight="false" outlineLevel="0" collapsed="false">
      <c r="A83" s="0" t="s">
        <v>33</v>
      </c>
      <c r="B83" s="0" t="n">
        <v>96</v>
      </c>
      <c r="C83" s="0" t="n">
        <v>2</v>
      </c>
      <c r="D83" s="0" t="n">
        <f aca="false">B83*C83</f>
        <v>192</v>
      </c>
      <c r="E83" s="0" t="s">
        <v>30</v>
      </c>
      <c r="F83" s="4" t="n">
        <v>-0.011</v>
      </c>
      <c r="G83" s="4" t="n">
        <v>-0.0055</v>
      </c>
      <c r="H83" s="4" t="n">
        <v>0.0285</v>
      </c>
      <c r="I83" s="4" t="n">
        <v>0.008</v>
      </c>
      <c r="J83" s="4" t="n">
        <v>0.023</v>
      </c>
      <c r="K83" s="4" t="n">
        <v>0.035</v>
      </c>
      <c r="L83" s="4" t="n">
        <v>-0.0055</v>
      </c>
      <c r="M83" s="4" t="n">
        <v>-0.0015</v>
      </c>
      <c r="N83" s="9" t="n">
        <f aca="false">(F83+G83-H83-I83)/4</f>
        <v>-0.01325</v>
      </c>
      <c r="O83" s="9" t="n">
        <f aca="false">(1*J83+1*K83-(1)*L83-(1)*M83)/4</f>
        <v>0.01625</v>
      </c>
      <c r="P83" s="9" t="n">
        <f aca="false">IF(O83&lt;&gt;0,N83/O83,"n/a")</f>
        <v>-0.815384615384615</v>
      </c>
      <c r="Q83" s="4" t="n">
        <v>0.627627873097337</v>
      </c>
      <c r="R83" s="5" t="n">
        <f aca="false">IF(ISNUMBER(P83),P83/Q83,"n/a")</f>
        <v>-1.29915296999271</v>
      </c>
      <c r="S83" s="6" t="n">
        <v>472</v>
      </c>
      <c r="T83" s="7" t="n">
        <v>3.916</v>
      </c>
    </row>
    <row r="84" customFormat="false" ht="15" hidden="false" customHeight="false" outlineLevel="0" collapsed="false">
      <c r="A84" s="0" t="s">
        <v>33</v>
      </c>
      <c r="B84" s="0" t="n">
        <v>96</v>
      </c>
      <c r="C84" s="0" t="n">
        <v>1</v>
      </c>
      <c r="D84" s="0" t="n">
        <f aca="false">B84*C84</f>
        <v>96</v>
      </c>
      <c r="E84" s="0" t="s">
        <v>31</v>
      </c>
      <c r="F84" s="4" t="n">
        <v>0.0015</v>
      </c>
      <c r="G84" s="4" t="n">
        <v>0.0145</v>
      </c>
      <c r="H84" s="4" t="n">
        <v>-0.004</v>
      </c>
      <c r="I84" s="4" t="n">
        <v>0.023</v>
      </c>
      <c r="J84" s="4" t="n">
        <v>0.018</v>
      </c>
      <c r="K84" s="4" t="n">
        <v>-0.022</v>
      </c>
      <c r="L84" s="4" t="n">
        <v>-0.0275</v>
      </c>
      <c r="M84" s="4" t="n">
        <v>-0.0065</v>
      </c>
      <c r="N84" s="9" t="n">
        <f aca="false">(F84+G84-H84-I84)/4</f>
        <v>-0.00075</v>
      </c>
      <c r="O84" s="9" t="n">
        <f aca="false">(1*J84+1*K84-(1)*L84-(1)*M84)/4</f>
        <v>0.0075</v>
      </c>
      <c r="P84" s="9" t="n">
        <f aca="false">IF(O84&lt;&gt;0,N84/O84,"n/a")</f>
        <v>-0.1</v>
      </c>
      <c r="Q84" s="4" t="n">
        <v>1.05924848031779</v>
      </c>
      <c r="R84" s="5" t="n">
        <f aca="false">IF(ISNUMBER(P84),P84/Q84,"n/a")</f>
        <v>-0.0944065550795014</v>
      </c>
      <c r="S84" s="6" t="n">
        <v>96</v>
      </c>
      <c r="T84" s="7" t="n">
        <v>9.456</v>
      </c>
    </row>
    <row r="85" customFormat="false" ht="15" hidden="false" customHeight="false" outlineLevel="0" collapsed="false">
      <c r="A85" s="0" t="s">
        <v>33</v>
      </c>
      <c r="B85" s="0" t="n">
        <v>96</v>
      </c>
      <c r="C85" s="0" t="n">
        <v>2</v>
      </c>
      <c r="D85" s="0" t="n">
        <f aca="false">B85*C85</f>
        <v>192</v>
      </c>
      <c r="E85" s="0" t="s">
        <v>31</v>
      </c>
      <c r="F85" s="4" t="n">
        <v>0.014</v>
      </c>
      <c r="G85" s="4" t="n">
        <v>-0.0215</v>
      </c>
      <c r="H85" s="4" t="n">
        <v>-0.015</v>
      </c>
      <c r="I85" s="4" t="n">
        <v>0.0115</v>
      </c>
      <c r="J85" s="4" t="n">
        <v>-0.0085</v>
      </c>
      <c r="K85" s="4" t="n">
        <v>0.001</v>
      </c>
      <c r="L85" s="4" t="n">
        <v>0.0035</v>
      </c>
      <c r="M85" s="4" t="n">
        <v>-0.008</v>
      </c>
      <c r="N85" s="9" t="n">
        <f aca="false">(F85+G85-H85-I85)/4</f>
        <v>-0.001</v>
      </c>
      <c r="O85" s="9" t="n">
        <f aca="false">(1*J85+1*K85-(1)*L85-(1)*M85)/4</f>
        <v>-0.00075</v>
      </c>
      <c r="P85" s="9" t="n">
        <f aca="false">IF(O85&lt;&gt;0,N85/O85,"n/a")</f>
        <v>1.33333333333333</v>
      </c>
      <c r="Q85" s="4" t="n">
        <v>17.5671962549309</v>
      </c>
      <c r="R85" s="5" t="n">
        <f aca="false">IF(ISNUMBER(P85),P85/Q85,"n/a")</f>
        <v>0.0758990401191129</v>
      </c>
      <c r="S85" s="6" t="n">
        <v>192</v>
      </c>
      <c r="T85" s="7" t="n">
        <v>16.156</v>
      </c>
    </row>
    <row r="87" customFormat="false" ht="15" hidden="false" customHeight="false" outlineLevel="0" collapsed="false">
      <c r="A87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5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8" min="7" style="0" width="9"/>
    <col collapsed="false" customWidth="true" hidden="false" outlineLevel="0" max="9" min="9" style="0" width="14"/>
  </cols>
  <sheetData>
    <row r="1" customFormat="false" ht="23.85" hidden="false" customHeight="false" outlineLevel="0" collapsed="false">
      <c r="A1" s="3" t="s">
        <v>13</v>
      </c>
      <c r="B1" s="3" t="s">
        <v>18</v>
      </c>
      <c r="C1" s="3" t="s">
        <v>15</v>
      </c>
      <c r="D1" s="3" t="s">
        <v>63</v>
      </c>
      <c r="E1" s="3" t="s">
        <v>20</v>
      </c>
      <c r="F1" s="3" t="s">
        <v>64</v>
      </c>
      <c r="G1" s="3" t="s">
        <v>65</v>
      </c>
      <c r="H1" s="3" t="s">
        <v>66</v>
      </c>
      <c r="I1" s="3" t="s">
        <v>67</v>
      </c>
    </row>
    <row r="2" customFormat="false" ht="15" hidden="false" customHeight="false" outlineLevel="0" collapsed="false">
      <c r="A2" s="0" t="s">
        <v>27</v>
      </c>
      <c r="B2" s="0" t="s">
        <v>29</v>
      </c>
      <c r="C2" s="0" t="n">
        <v>20</v>
      </c>
      <c r="D2" s="7" t="n">
        <v>72.6423596142367</v>
      </c>
      <c r="E2" s="7" t="n">
        <v>3.86479147811199</v>
      </c>
      <c r="F2" s="6" t="n">
        <v>171</v>
      </c>
      <c r="G2" s="5" t="n">
        <f aca="false">0.8*F2-2*E2</f>
        <v>129.070417043776</v>
      </c>
      <c r="H2" s="5" t="n">
        <f aca="false">1.2*F2+2*E2</f>
        <v>212.929582956224</v>
      </c>
      <c r="I2" s="0" t="str">
        <f aca="false">IF(D2&lt;G2,"BELOW",IF(D2&gt;H2,"ABOVE","INSIDE"))</f>
        <v>BELOW</v>
      </c>
    </row>
    <row r="3" customFormat="false" ht="15" hidden="false" customHeight="false" outlineLevel="0" collapsed="false">
      <c r="A3" s="0" t="s">
        <v>27</v>
      </c>
      <c r="B3" s="0" t="s">
        <v>29</v>
      </c>
      <c r="C3" s="0" t="n">
        <v>36</v>
      </c>
      <c r="D3" s="7" t="n">
        <v>105.77127691744</v>
      </c>
      <c r="E3" s="7" t="n">
        <v>11.2228635536805</v>
      </c>
      <c r="F3" s="6" t="n">
        <v>171</v>
      </c>
      <c r="G3" s="5" t="n">
        <f aca="false">0.8*F3-2*E3</f>
        <v>114.354272892639</v>
      </c>
      <c r="H3" s="5" t="n">
        <f aca="false">1.2*F3+2*E3</f>
        <v>227.645727107361</v>
      </c>
      <c r="I3" s="0" t="str">
        <f aca="false">IF(D3&lt;G3,"BELOW",IF(D3&gt;H3,"ABOVE","INSIDE"))</f>
        <v>BELOW</v>
      </c>
    </row>
    <row r="4" customFormat="false" ht="15" hidden="false" customHeight="false" outlineLevel="0" collapsed="false">
      <c r="A4" s="0" t="s">
        <v>27</v>
      </c>
      <c r="B4" s="0" t="s">
        <v>29</v>
      </c>
      <c r="C4" s="0" t="n">
        <v>40</v>
      </c>
      <c r="D4" s="7" t="n">
        <v>3.26690404502869</v>
      </c>
      <c r="E4" s="7" t="n">
        <v>3091.63784503559</v>
      </c>
    </row>
    <row r="5" customFormat="false" ht="15" hidden="false" customHeight="false" outlineLevel="0" collapsed="false">
      <c r="A5" s="0" t="s">
        <v>27</v>
      </c>
      <c r="B5" s="0" t="s">
        <v>29</v>
      </c>
      <c r="C5" s="0" t="n">
        <v>72</v>
      </c>
      <c r="D5" s="7" t="n">
        <v>27.4260984064552</v>
      </c>
      <c r="E5" s="7" t="n">
        <v>16.8329699976547</v>
      </c>
    </row>
    <row r="6" customFormat="false" ht="15" hidden="false" customHeight="false" outlineLevel="0" collapsed="false">
      <c r="A6" s="0" t="s">
        <v>27</v>
      </c>
      <c r="B6" s="0" t="s">
        <v>30</v>
      </c>
      <c r="C6" s="0" t="n">
        <v>20</v>
      </c>
      <c r="D6" s="7" t="n">
        <v>38.9311197658077</v>
      </c>
      <c r="E6" s="7" t="n">
        <v>2.37573076235928</v>
      </c>
      <c r="F6" s="6" t="n">
        <v>47.5</v>
      </c>
      <c r="G6" s="5" t="n">
        <f aca="false">0.8*F6-2*E6</f>
        <v>33.2485384752814</v>
      </c>
      <c r="H6" s="5" t="n">
        <f aca="false">1.2*F6+2*E6</f>
        <v>61.7514615247186</v>
      </c>
      <c r="I6" s="0" t="str">
        <f aca="false">IF(D6&lt;G6,"BELOW",IF(D6&gt;H6,"ABOVE","INSIDE"))</f>
        <v>INSIDE</v>
      </c>
    </row>
    <row r="7" customFormat="false" ht="15" hidden="false" customHeight="false" outlineLevel="0" collapsed="false">
      <c r="A7" s="0" t="s">
        <v>27</v>
      </c>
      <c r="B7" s="0" t="s">
        <v>30</v>
      </c>
      <c r="C7" s="0" t="n">
        <v>36</v>
      </c>
      <c r="D7" s="7" t="n">
        <v>63.2092938048522</v>
      </c>
      <c r="E7" s="7" t="n">
        <v>6.86815469366937</v>
      </c>
      <c r="F7" s="6" t="n">
        <v>47.5</v>
      </c>
      <c r="G7" s="5" t="n">
        <f aca="false">0.8*F7-2*E7</f>
        <v>24.2636906126613</v>
      </c>
      <c r="H7" s="5" t="n">
        <f aca="false">1.2*F7+2*E7</f>
        <v>70.7363093873387</v>
      </c>
      <c r="I7" s="0" t="str">
        <f aca="false">IF(D7&lt;G7,"BELOW",IF(D7&gt;H7,"ABOVE","INSIDE"))</f>
        <v>INSIDE</v>
      </c>
    </row>
    <row r="8" customFormat="false" ht="15" hidden="false" customHeight="false" outlineLevel="0" collapsed="false">
      <c r="A8" s="0" t="s">
        <v>27</v>
      </c>
      <c r="B8" s="0" t="s">
        <v>30</v>
      </c>
      <c r="C8" s="0" t="n">
        <v>40</v>
      </c>
      <c r="D8" s="7" t="n">
        <v>19.8989898358249</v>
      </c>
      <c r="E8" s="7" t="n">
        <v>4.03830388777429</v>
      </c>
    </row>
    <row r="9" customFormat="false" ht="15" hidden="false" customHeight="false" outlineLevel="0" collapsed="false">
      <c r="A9" s="0" t="s">
        <v>27</v>
      </c>
      <c r="B9" s="0" t="s">
        <v>30</v>
      </c>
      <c r="C9" s="0" t="n">
        <v>72</v>
      </c>
      <c r="D9" s="7" t="n">
        <v>28.8394549597617</v>
      </c>
      <c r="E9" s="7" t="n">
        <v>14.7460020812381</v>
      </c>
    </row>
    <row r="10" customFormat="false" ht="15" hidden="false" customHeight="false" outlineLevel="0" collapsed="false">
      <c r="A10" s="0" t="s">
        <v>27</v>
      </c>
      <c r="B10" s="0" t="s">
        <v>31</v>
      </c>
      <c r="C10" s="0" t="n">
        <v>20</v>
      </c>
    </row>
    <row r="11" customFormat="false" ht="15" hidden="false" customHeight="false" outlineLevel="0" collapsed="false">
      <c r="A11" s="0" t="s">
        <v>27</v>
      </c>
      <c r="B11" s="0" t="s">
        <v>31</v>
      </c>
      <c r="C11" s="0" t="n">
        <v>36</v>
      </c>
      <c r="D11" s="7" t="n">
        <v>8.36495544689639</v>
      </c>
      <c r="E11" s="7" t="n">
        <v>7.00969510147059</v>
      </c>
    </row>
    <row r="12" customFormat="false" ht="15" hidden="false" customHeight="false" outlineLevel="0" collapsed="false">
      <c r="A12" s="0" t="s">
        <v>27</v>
      </c>
      <c r="B12" s="0" t="s">
        <v>31</v>
      </c>
      <c r="C12" s="0" t="n">
        <v>40</v>
      </c>
      <c r="D12" s="7" t="n">
        <v>15.3662467377644</v>
      </c>
      <c r="E12" s="7" t="n">
        <v>4.71869832012546</v>
      </c>
    </row>
    <row r="13" customFormat="false" ht="15" hidden="false" customHeight="false" outlineLevel="0" collapsed="false">
      <c r="A13" s="0" t="s">
        <v>27</v>
      </c>
      <c r="B13" s="0" t="s">
        <v>31</v>
      </c>
      <c r="C13" s="0" t="n">
        <v>72</v>
      </c>
      <c r="D13" s="7" t="n">
        <v>18.9638854756545</v>
      </c>
      <c r="E13" s="7" t="n">
        <v>27.3569435155987</v>
      </c>
    </row>
    <row r="14" customFormat="false" ht="15" hidden="false" customHeight="false" outlineLevel="0" collapsed="false">
      <c r="A14" s="0" t="s">
        <v>27</v>
      </c>
      <c r="B14" s="0" t="s">
        <v>29</v>
      </c>
      <c r="C14" s="0" t="n">
        <v>88</v>
      </c>
      <c r="D14" s="7" t="n">
        <v>50.8266463213318</v>
      </c>
      <c r="E14" s="7" t="n">
        <v>15.5165691885476</v>
      </c>
    </row>
    <row r="15" customFormat="false" ht="15" hidden="false" customHeight="false" outlineLevel="0" collapsed="false">
      <c r="A15" s="0" t="s">
        <v>27</v>
      </c>
      <c r="B15" s="0" t="s">
        <v>30</v>
      </c>
      <c r="C15" s="0" t="n">
        <v>88</v>
      </c>
    </row>
    <row r="16" customFormat="false" ht="15" hidden="false" customHeight="false" outlineLevel="0" collapsed="false">
      <c r="A16" s="0" t="s">
        <v>27</v>
      </c>
      <c r="B16" s="0" t="s">
        <v>31</v>
      </c>
      <c r="C16" s="0" t="n">
        <v>88</v>
      </c>
    </row>
    <row r="17" customFormat="false" ht="15" hidden="false" customHeight="false" outlineLevel="0" collapsed="false">
      <c r="A17" s="0" t="s">
        <v>33</v>
      </c>
      <c r="B17" s="0" t="s">
        <v>29</v>
      </c>
      <c r="C17" s="0" t="n">
        <v>20</v>
      </c>
      <c r="D17" s="7" t="n">
        <v>59.8198704801324</v>
      </c>
      <c r="E17" s="7" t="n">
        <v>4.40272788135579</v>
      </c>
      <c r="F17" s="6" t="n">
        <v>113</v>
      </c>
      <c r="G17" s="5" t="n">
        <f aca="false">0.8*F17-2*E17</f>
        <v>81.5945442372884</v>
      </c>
      <c r="H17" s="5" t="n">
        <f aca="false">1.2*F17+2*E17</f>
        <v>144.405455762712</v>
      </c>
      <c r="I17" s="0" t="str">
        <f aca="false">IF(D17&lt;G17,"BELOW",IF(D17&gt;H17,"ABOVE","INSIDE"))</f>
        <v>BELOW</v>
      </c>
    </row>
    <row r="18" customFormat="false" ht="15" hidden="false" customHeight="false" outlineLevel="0" collapsed="false">
      <c r="A18" s="0" t="s">
        <v>33</v>
      </c>
      <c r="B18" s="0" t="s">
        <v>29</v>
      </c>
      <c r="C18" s="0" t="n">
        <v>36</v>
      </c>
      <c r="D18" s="7" t="n">
        <v>76.385916746183</v>
      </c>
      <c r="E18" s="7" t="n">
        <v>13.9485215601833</v>
      </c>
      <c r="F18" s="6" t="n">
        <v>113</v>
      </c>
      <c r="G18" s="5" t="n">
        <f aca="false">0.8*F18-2*E18</f>
        <v>62.5029568796334</v>
      </c>
      <c r="H18" s="5" t="n">
        <f aca="false">1.2*F18+2*E18</f>
        <v>163.497043120367</v>
      </c>
      <c r="I18" s="0" t="str">
        <f aca="false">IF(D18&lt;G18,"BELOW",IF(D18&gt;H18,"ABOVE","INSIDE"))</f>
        <v>INSIDE</v>
      </c>
    </row>
    <row r="19" customFormat="false" ht="15" hidden="false" customHeight="false" outlineLevel="0" collapsed="false">
      <c r="A19" s="0" t="s">
        <v>33</v>
      </c>
      <c r="B19" s="0" t="s">
        <v>29</v>
      </c>
      <c r="C19" s="0" t="n">
        <v>40</v>
      </c>
      <c r="D19" s="7" t="n">
        <v>2.08951405251379</v>
      </c>
      <c r="E19" s="7" t="n">
        <v>4190308.38692667</v>
      </c>
    </row>
    <row r="20" customFormat="false" ht="15" hidden="false" customHeight="false" outlineLevel="0" collapsed="false">
      <c r="A20" s="0" t="s">
        <v>33</v>
      </c>
      <c r="B20" s="0" t="s">
        <v>29</v>
      </c>
      <c r="C20" s="0" t="n">
        <v>72</v>
      </c>
      <c r="D20" s="7" t="n">
        <v>83.7146608662367</v>
      </c>
      <c r="E20" s="7" t="n">
        <v>481.529649769838</v>
      </c>
    </row>
    <row r="21" customFormat="false" ht="15" hidden="false" customHeight="false" outlineLevel="0" collapsed="false">
      <c r="A21" s="0" t="s">
        <v>33</v>
      </c>
      <c r="B21" s="0" t="s">
        <v>30</v>
      </c>
      <c r="C21" s="0" t="n">
        <v>20</v>
      </c>
      <c r="D21" s="7" t="n">
        <v>29.5811400419369</v>
      </c>
      <c r="E21" s="7" t="n">
        <v>2.98565030235938</v>
      </c>
      <c r="F21" s="6" t="n">
        <v>31.4</v>
      </c>
      <c r="G21" s="5" t="n">
        <f aca="false">0.8*F21-2*E21</f>
        <v>19.1486993952813</v>
      </c>
      <c r="H21" s="5" t="n">
        <f aca="false">1.2*F21+2*E21</f>
        <v>43.6513006047188</v>
      </c>
      <c r="I21" s="0" t="str">
        <f aca="false">IF(D21&lt;G21,"BELOW",IF(D21&gt;H21,"ABOVE","INSIDE"))</f>
        <v>INSIDE</v>
      </c>
    </row>
    <row r="22" customFormat="false" ht="15" hidden="false" customHeight="false" outlineLevel="0" collapsed="false">
      <c r="A22" s="0" t="s">
        <v>33</v>
      </c>
      <c r="B22" s="0" t="s">
        <v>30</v>
      </c>
      <c r="C22" s="0" t="n">
        <v>36</v>
      </c>
      <c r="D22" s="7" t="n">
        <v>29.4477727310958</v>
      </c>
      <c r="E22" s="7" t="n">
        <v>6.18764576501555</v>
      </c>
      <c r="F22" s="6" t="n">
        <v>31.4</v>
      </c>
      <c r="G22" s="5" t="n">
        <f aca="false">0.8*F22-2*E22</f>
        <v>12.7447084699689</v>
      </c>
      <c r="H22" s="5" t="n">
        <f aca="false">1.2*F22+2*E22</f>
        <v>50.0552915300311</v>
      </c>
      <c r="I22" s="0" t="str">
        <f aca="false">IF(D22&lt;G22,"BELOW",IF(D22&gt;H22,"ABOVE","INSIDE"))</f>
        <v>INSIDE</v>
      </c>
    </row>
    <row r="23" customFormat="false" ht="15" hidden="false" customHeight="false" outlineLevel="0" collapsed="false">
      <c r="A23" s="0" t="s">
        <v>33</v>
      </c>
      <c r="B23" s="0" t="s">
        <v>30</v>
      </c>
      <c r="C23" s="0" t="n">
        <v>40</v>
      </c>
    </row>
    <row r="24" customFormat="false" ht="15" hidden="false" customHeight="false" outlineLevel="0" collapsed="false">
      <c r="A24" s="0" t="s">
        <v>33</v>
      </c>
      <c r="B24" s="0" t="s">
        <v>30</v>
      </c>
      <c r="C24" s="0" t="n">
        <v>72</v>
      </c>
      <c r="D24" s="7" t="n">
        <v>34.8845519318363</v>
      </c>
      <c r="E24" s="7" t="n">
        <v>70.8649047627523</v>
      </c>
    </row>
    <row r="25" customFormat="false" ht="15" hidden="false" customHeight="false" outlineLevel="0" collapsed="false">
      <c r="A25" s="0" t="s">
        <v>33</v>
      </c>
      <c r="B25" s="0" t="s">
        <v>31</v>
      </c>
      <c r="C25" s="0" t="n">
        <v>20</v>
      </c>
      <c r="D25" s="7" t="n">
        <v>19.3277922373297</v>
      </c>
      <c r="E25" s="7" t="n">
        <v>2.5937351468011</v>
      </c>
    </row>
    <row r="26" customFormat="false" ht="15" hidden="false" customHeight="false" outlineLevel="0" collapsed="false">
      <c r="A26" s="0" t="s">
        <v>33</v>
      </c>
      <c r="B26" s="0" t="s">
        <v>31</v>
      </c>
      <c r="C26" s="0" t="n">
        <v>36</v>
      </c>
      <c r="D26" s="7" t="n">
        <v>33.6834132757698</v>
      </c>
      <c r="E26" s="7" t="n">
        <v>6.30320862548119</v>
      </c>
    </row>
    <row r="27" customFormat="false" ht="15" hidden="false" customHeight="false" outlineLevel="0" collapsed="false">
      <c r="A27" s="0" t="s">
        <v>33</v>
      </c>
      <c r="B27" s="0" t="s">
        <v>31</v>
      </c>
      <c r="C27" s="0" t="n">
        <v>40</v>
      </c>
      <c r="D27" s="7" t="n">
        <v>10.3763337508878</v>
      </c>
      <c r="E27" s="7" t="n">
        <v>33.1764707888464</v>
      </c>
    </row>
    <row r="28" customFormat="false" ht="15" hidden="false" customHeight="false" outlineLevel="0" collapsed="false">
      <c r="A28" s="0" t="s">
        <v>33</v>
      </c>
      <c r="B28" s="0" t="s">
        <v>31</v>
      </c>
      <c r="C28" s="0" t="n">
        <v>72</v>
      </c>
      <c r="D28" s="7" t="n">
        <v>78.8751692345529</v>
      </c>
      <c r="E28" s="7" t="n">
        <v>208.779408886313</v>
      </c>
    </row>
    <row r="29" customFormat="false" ht="15" hidden="false" customHeight="false" outlineLevel="0" collapsed="false">
      <c r="A29" s="0" t="s">
        <v>33</v>
      </c>
      <c r="B29" s="0" t="s">
        <v>29</v>
      </c>
      <c r="C29" s="0" t="n">
        <v>96</v>
      </c>
      <c r="D29" s="7" t="n">
        <v>594.050106858567</v>
      </c>
      <c r="E29" s="7" t="n">
        <v>3797.44293823085</v>
      </c>
    </row>
    <row r="30" customFormat="false" ht="15" hidden="false" customHeight="false" outlineLevel="0" collapsed="false">
      <c r="A30" s="0" t="s">
        <v>33</v>
      </c>
      <c r="B30" s="0" t="s">
        <v>30</v>
      </c>
      <c r="C30" s="0" t="n">
        <v>96</v>
      </c>
      <c r="D30" s="7" t="n">
        <v>51.1466726913009</v>
      </c>
      <c r="E30" s="7" t="n">
        <v>207.207828464853</v>
      </c>
    </row>
    <row r="31" customFormat="false" ht="15" hidden="false" customHeight="false" outlineLevel="0" collapsed="false">
      <c r="A31" s="0" t="s">
        <v>33</v>
      </c>
      <c r="B31" s="0" t="s">
        <v>31</v>
      </c>
      <c r="C31" s="0" t="n">
        <v>96</v>
      </c>
      <c r="D31" s="7" t="n">
        <v>9.6</v>
      </c>
      <c r="E31" s="7" t="n">
        <v>22398.2404027884</v>
      </c>
    </row>
    <row r="33" customFormat="false" ht="15" hidden="false" customHeight="false" outlineLevel="0" collapsed="false">
      <c r="A33" s="0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6" min="5" style="0" width="11"/>
    <col collapsed="false" customWidth="true" hidden="false" outlineLevel="0" max="8" min="7" style="0" width="10"/>
    <col collapsed="false" customWidth="true" hidden="false" outlineLevel="0" max="10" min="9" style="0" width="9"/>
    <col collapsed="false" customWidth="true" hidden="false" outlineLevel="0" max="12" min="11" style="0" width="10"/>
    <col collapsed="false" customWidth="true" hidden="false" outlineLevel="0" max="13" min="13" style="0" width="8"/>
  </cols>
  <sheetData>
    <row r="1" customFormat="false" ht="23.85" hidden="false" customHeight="false" outlineLevel="0" collapsed="false">
      <c r="A1" s="3" t="s">
        <v>18</v>
      </c>
      <c r="B1" s="3" t="s">
        <v>69</v>
      </c>
      <c r="C1" s="3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  <c r="J1" s="3" t="s">
        <v>77</v>
      </c>
      <c r="K1" s="3" t="s">
        <v>78</v>
      </c>
      <c r="L1" s="3" t="s">
        <v>79</v>
      </c>
      <c r="M1" s="3" t="s">
        <v>80</v>
      </c>
    </row>
    <row r="2" customFormat="false" ht="15" hidden="false" customHeight="false" outlineLevel="0" collapsed="false">
      <c r="A2" s="0" t="s">
        <v>29</v>
      </c>
      <c r="B2" s="0" t="n">
        <v>16</v>
      </c>
      <c r="C2" s="10" t="n">
        <v>0.695</v>
      </c>
      <c r="D2" s="10" t="n">
        <v>0.662775</v>
      </c>
      <c r="E2" s="10" t="n">
        <v>0.564975</v>
      </c>
      <c r="F2" s="10" t="n">
        <v>0.75</v>
      </c>
      <c r="G2" s="0" t="str">
        <f aca="false">IF(AND(C2&gt;=E2,C2&lt;=F2),"INSIDE","OUTSIDE")</f>
        <v>INSIDE</v>
      </c>
      <c r="H2" s="10" t="n">
        <v>0.702891740988011</v>
      </c>
      <c r="I2" s="10" t="n">
        <v>0.656181162545514</v>
      </c>
      <c r="J2" s="10" t="n">
        <v>0.877674097755111</v>
      </c>
      <c r="K2" s="10" t="n">
        <v>0.791597410071387</v>
      </c>
      <c r="L2" s="11" t="n">
        <v>2.87395638497958</v>
      </c>
      <c r="M2" s="0" t="str">
        <f aca="false">IF(L2&lt;=2,"HOLDS","FAILS")</f>
        <v>FAILS</v>
      </c>
    </row>
    <row r="3" customFormat="false" ht="15" hidden="false" customHeight="false" outlineLevel="0" collapsed="false">
      <c r="A3" s="0" t="s">
        <v>29</v>
      </c>
      <c r="B3" s="0" t="n">
        <v>32</v>
      </c>
      <c r="C3" s="10" t="n">
        <v>0.75</v>
      </c>
      <c r="D3" s="10" t="n">
        <v>0.714375</v>
      </c>
      <c r="E3" s="10" t="n">
        <v>0.61995</v>
      </c>
      <c r="F3" s="10" t="n">
        <v>0.79505</v>
      </c>
      <c r="G3" s="0" t="str">
        <f aca="false">IF(AND(C3&gt;=E3,C3&lt;=F3),"INSIDE","OUTSIDE")</f>
        <v>INSIDE</v>
      </c>
      <c r="H3" s="10" t="n">
        <v>0.702891740988011</v>
      </c>
      <c r="I3" s="10" t="n">
        <v>0.656181162545514</v>
      </c>
      <c r="J3" s="10" t="n">
        <v>0.877674097755111</v>
      </c>
      <c r="K3" s="10" t="n">
        <v>0.791597410071387</v>
      </c>
      <c r="L3" s="11" t="n">
        <v>2.87395638497958</v>
      </c>
      <c r="M3" s="0" t="str">
        <f aca="false">IF(L3&lt;=2,"HOLDS","FAILS")</f>
        <v>FAILS</v>
      </c>
    </row>
    <row r="4" customFormat="false" ht="15" hidden="false" customHeight="false" outlineLevel="0" collapsed="false">
      <c r="A4" s="0" t="s">
        <v>29</v>
      </c>
      <c r="B4" s="0" t="n">
        <v>64</v>
      </c>
      <c r="C4" s="10" t="n">
        <v>0.74</v>
      </c>
      <c r="D4" s="10" t="n">
        <v>0.7642875</v>
      </c>
      <c r="E4" s="10" t="n">
        <v>0.645</v>
      </c>
      <c r="F4" s="10" t="n">
        <v>0.845025</v>
      </c>
      <c r="G4" s="0" t="str">
        <f aca="false">IF(AND(C4&gt;=E4,C4&lt;=F4),"INSIDE","OUTSIDE")</f>
        <v>INSIDE</v>
      </c>
      <c r="H4" s="10" t="n">
        <v>0.702891740988011</v>
      </c>
      <c r="I4" s="10" t="n">
        <v>0.656181162545514</v>
      </c>
      <c r="J4" s="10" t="n">
        <v>0.877674097755111</v>
      </c>
      <c r="K4" s="10" t="n">
        <v>0.791597410071387</v>
      </c>
      <c r="L4" s="11" t="n">
        <v>2.87395638497958</v>
      </c>
      <c r="M4" s="0" t="str">
        <f aca="false">IF(L4&lt;=2,"HOLDS","FAILS")</f>
        <v>FAILS</v>
      </c>
    </row>
    <row r="5" customFormat="false" ht="15" hidden="false" customHeight="false" outlineLevel="0" collapsed="false">
      <c r="A5" s="0" t="s">
        <v>29</v>
      </c>
      <c r="B5" s="0" t="n">
        <v>125</v>
      </c>
      <c r="C5" s="10" t="n">
        <v>0.745</v>
      </c>
      <c r="D5" s="10" t="n">
        <v>0.7995125</v>
      </c>
      <c r="E5" s="10" t="n">
        <v>0.71485</v>
      </c>
      <c r="F5" s="10" t="n">
        <v>0.885</v>
      </c>
      <c r="G5" s="0" t="str">
        <f aca="false">IF(AND(C5&gt;=E5,C5&lt;=F5),"INSIDE","OUTSIDE")</f>
        <v>INSIDE</v>
      </c>
      <c r="H5" s="10" t="n">
        <v>0.702891740988011</v>
      </c>
      <c r="I5" s="10" t="n">
        <v>0.656181162545514</v>
      </c>
      <c r="J5" s="10" t="n">
        <v>0.877674097755111</v>
      </c>
      <c r="K5" s="10" t="n">
        <v>0.791597410071387</v>
      </c>
      <c r="L5" s="11" t="n">
        <v>2.87395638497958</v>
      </c>
      <c r="M5" s="0" t="str">
        <f aca="false">IF(L5&lt;=2,"HOLDS","FAILS")</f>
        <v>FAILS</v>
      </c>
    </row>
    <row r="6" customFormat="false" ht="15" hidden="false" customHeight="false" outlineLevel="0" collapsed="false">
      <c r="A6" s="0" t="s">
        <v>29</v>
      </c>
      <c r="B6" s="0" t="n">
        <v>250</v>
      </c>
      <c r="C6" s="10" t="n">
        <v>0.81</v>
      </c>
      <c r="D6" s="10" t="n">
        <v>0.8300875</v>
      </c>
      <c r="E6" s="10" t="n">
        <v>0.74495</v>
      </c>
      <c r="F6" s="10" t="n">
        <v>0.9</v>
      </c>
      <c r="G6" s="0" t="str">
        <f aca="false">IF(AND(C6&gt;=E6,C6&lt;=F6),"INSIDE","OUTSIDE")</f>
        <v>INSIDE</v>
      </c>
      <c r="H6" s="10" t="n">
        <v>0.702891740988011</v>
      </c>
      <c r="I6" s="10" t="n">
        <v>0.656181162545514</v>
      </c>
      <c r="J6" s="10" t="n">
        <v>0.877674097755111</v>
      </c>
      <c r="K6" s="10" t="n">
        <v>0.791597410071387</v>
      </c>
      <c r="L6" s="11" t="n">
        <v>2.87395638497958</v>
      </c>
      <c r="M6" s="0" t="str">
        <f aca="false">IF(L6&lt;=2,"HOLDS","FAILS")</f>
        <v>FAILS</v>
      </c>
    </row>
    <row r="7" customFormat="false" ht="15" hidden="false" customHeight="false" outlineLevel="0" collapsed="false">
      <c r="A7" s="0" t="s">
        <v>30</v>
      </c>
      <c r="B7" s="0" t="n">
        <v>16</v>
      </c>
      <c r="C7" s="10" t="n">
        <v>0.595</v>
      </c>
      <c r="D7" s="10" t="n">
        <v>0.5751625</v>
      </c>
      <c r="E7" s="10" t="n">
        <v>0.475</v>
      </c>
      <c r="F7" s="10" t="n">
        <v>0.680025</v>
      </c>
      <c r="G7" s="0" t="str">
        <f aca="false">IF(AND(C7&gt;=E7,C7&lt;=F7),"INSIDE","OUTSIDE")</f>
        <v>INSIDE</v>
      </c>
      <c r="H7" s="10" t="n">
        <v>0.348949309145373</v>
      </c>
      <c r="I7" s="10" t="n">
        <v>0.377216333847878</v>
      </c>
      <c r="J7" s="10" t="n">
        <v>0.682978787642321</v>
      </c>
      <c r="K7" s="10" t="n">
        <v>0.431404995824406</v>
      </c>
      <c r="L7" s="11" t="n">
        <v>1.72527482289183</v>
      </c>
      <c r="M7" s="0" t="str">
        <f aca="false">IF(L7&lt;=2,"HOLDS","FAILS")</f>
        <v>HOLDS</v>
      </c>
    </row>
    <row r="8" customFormat="false" ht="15" hidden="false" customHeight="false" outlineLevel="0" collapsed="false">
      <c r="A8" s="0" t="s">
        <v>30</v>
      </c>
      <c r="B8" s="0" t="n">
        <v>32</v>
      </c>
      <c r="C8" s="10" t="n">
        <v>0.6</v>
      </c>
      <c r="D8" s="10" t="n">
        <v>0.6183625</v>
      </c>
      <c r="E8" s="10" t="n">
        <v>0.529975</v>
      </c>
      <c r="F8" s="10" t="n">
        <v>0.710025</v>
      </c>
      <c r="G8" s="0" t="str">
        <f aca="false">IF(AND(C8&gt;=E8,C8&lt;=F8),"INSIDE","OUTSIDE")</f>
        <v>INSIDE</v>
      </c>
      <c r="H8" s="10" t="n">
        <v>0.348949309145373</v>
      </c>
      <c r="I8" s="10" t="n">
        <v>0.377216333847878</v>
      </c>
      <c r="J8" s="10" t="n">
        <v>0.682978787642321</v>
      </c>
      <c r="K8" s="10" t="n">
        <v>0.431404995824406</v>
      </c>
      <c r="L8" s="11" t="n">
        <v>1.72527482289183</v>
      </c>
      <c r="M8" s="0" t="str">
        <f aca="false">IF(L8&lt;=2,"HOLDS","FAILS")</f>
        <v>HOLDS</v>
      </c>
    </row>
    <row r="9" customFormat="false" ht="15" hidden="false" customHeight="false" outlineLevel="0" collapsed="false">
      <c r="A9" s="0" t="s">
        <v>30</v>
      </c>
      <c r="B9" s="0" t="n">
        <v>64</v>
      </c>
      <c r="C9" s="10" t="n">
        <v>0.65</v>
      </c>
      <c r="D9" s="10" t="n">
        <v>0.6752625</v>
      </c>
      <c r="E9" s="10" t="n">
        <v>0.575</v>
      </c>
      <c r="F9" s="10" t="n">
        <v>0.78</v>
      </c>
      <c r="G9" s="0" t="str">
        <f aca="false">IF(AND(C9&gt;=E9,C9&lt;=F9),"INSIDE","OUTSIDE")</f>
        <v>INSIDE</v>
      </c>
      <c r="H9" s="10" t="n">
        <v>0.348949309145373</v>
      </c>
      <c r="I9" s="10" t="n">
        <v>0.377216333847878</v>
      </c>
      <c r="J9" s="10" t="n">
        <v>0.682978787642321</v>
      </c>
      <c r="K9" s="10" t="n">
        <v>0.431404995824406</v>
      </c>
      <c r="L9" s="11" t="n">
        <v>1.72527482289183</v>
      </c>
      <c r="M9" s="0" t="str">
        <f aca="false">IF(L9&lt;=2,"HOLDS","FAILS")</f>
        <v>HOLDS</v>
      </c>
    </row>
    <row r="10" customFormat="false" ht="15" hidden="false" customHeight="false" outlineLevel="0" collapsed="false">
      <c r="A10" s="0" t="s">
        <v>30</v>
      </c>
      <c r="B10" s="0" t="n">
        <v>125</v>
      </c>
      <c r="C10" s="10" t="n">
        <v>0.65</v>
      </c>
      <c r="D10" s="10" t="n">
        <v>0.7226625</v>
      </c>
      <c r="E10" s="10" t="n">
        <v>0.61</v>
      </c>
      <c r="F10" s="10" t="n">
        <v>0.81005</v>
      </c>
      <c r="G10" s="0" t="str">
        <f aca="false">IF(AND(C10&gt;=E10,C10&lt;=F10),"INSIDE","OUTSIDE")</f>
        <v>INSIDE</v>
      </c>
      <c r="H10" s="10" t="n">
        <v>0.348949309145373</v>
      </c>
      <c r="I10" s="10" t="n">
        <v>0.377216333847878</v>
      </c>
      <c r="J10" s="10" t="n">
        <v>0.682978787642321</v>
      </c>
      <c r="K10" s="10" t="n">
        <v>0.431404995824406</v>
      </c>
      <c r="L10" s="11" t="n">
        <v>1.72527482289183</v>
      </c>
      <c r="M10" s="0" t="str">
        <f aca="false">IF(L10&lt;=2,"HOLDS","FAILS")</f>
        <v>HOLDS</v>
      </c>
    </row>
    <row r="11" customFormat="false" ht="15" hidden="false" customHeight="false" outlineLevel="0" collapsed="false">
      <c r="A11" s="0" t="s">
        <v>30</v>
      </c>
      <c r="B11" s="0" t="n">
        <v>250</v>
      </c>
      <c r="C11" s="10" t="n">
        <v>0.715</v>
      </c>
      <c r="D11" s="10" t="n">
        <v>0.7700125</v>
      </c>
      <c r="E11" s="10" t="n">
        <v>0.689925</v>
      </c>
      <c r="F11" s="10" t="n">
        <v>0.845025</v>
      </c>
      <c r="G11" s="0" t="str">
        <f aca="false">IF(AND(C11&gt;=E11,C11&lt;=F11),"INSIDE","OUTSIDE")</f>
        <v>INSIDE</v>
      </c>
      <c r="H11" s="10" t="n">
        <v>0.348949309145373</v>
      </c>
      <c r="I11" s="10" t="n">
        <v>0.377216333847878</v>
      </c>
      <c r="J11" s="10" t="n">
        <v>0.682978787642321</v>
      </c>
      <c r="K11" s="10" t="n">
        <v>0.431404995824406</v>
      </c>
      <c r="L11" s="11" t="n">
        <v>1.72527482289183</v>
      </c>
      <c r="M11" s="0" t="str">
        <f aca="false">IF(L11&lt;=2,"HOLDS","FAILS")</f>
        <v>HOLDS</v>
      </c>
    </row>
    <row r="12" customFormat="false" ht="15" hidden="false" customHeight="false" outlineLevel="0" collapsed="false">
      <c r="A12" s="0" t="s">
        <v>31</v>
      </c>
      <c r="B12" s="0" t="n">
        <v>16</v>
      </c>
      <c r="C12" s="10" t="n">
        <v>0.695</v>
      </c>
      <c r="D12" s="10" t="n">
        <v>0.574275</v>
      </c>
      <c r="E12" s="10" t="n">
        <v>0.464975</v>
      </c>
      <c r="F12" s="10" t="n">
        <v>0.675</v>
      </c>
      <c r="G12" s="0" t="str">
        <f aca="false">IF(AND(C12&gt;=E12,C12&lt;=F12),"INSIDE","OUTSIDE")</f>
        <v>OUTSIDE</v>
      </c>
      <c r="H12" s="10" t="n">
        <v>0.567088846494599</v>
      </c>
      <c r="I12" s="10" t="n">
        <v>0.48828015031879</v>
      </c>
      <c r="J12" s="10" t="n">
        <v>0.80562601294308</v>
      </c>
      <c r="K12" s="10" t="n">
        <v>0.421626105487004</v>
      </c>
      <c r="L12" s="11" t="n">
        <v>3.45402985236574</v>
      </c>
      <c r="M12" s="0" t="str">
        <f aca="false">IF(L12&lt;=2,"HOLDS","FAILS")</f>
        <v>FAILS</v>
      </c>
    </row>
    <row r="13" customFormat="false" ht="15" hidden="false" customHeight="false" outlineLevel="0" collapsed="false">
      <c r="A13" s="0" t="s">
        <v>31</v>
      </c>
      <c r="B13" s="0" t="n">
        <v>32</v>
      </c>
      <c r="C13" s="10" t="n">
        <v>0.73</v>
      </c>
      <c r="D13" s="10" t="n">
        <v>0.6164375</v>
      </c>
      <c r="E13" s="10" t="n">
        <v>0.51495</v>
      </c>
      <c r="F13" s="10" t="n">
        <v>0.710025</v>
      </c>
      <c r="G13" s="0" t="str">
        <f aca="false">IF(AND(C13&gt;=E13,C13&lt;=F13),"INSIDE","OUTSIDE")</f>
        <v>OUTSIDE</v>
      </c>
      <c r="H13" s="10" t="n">
        <v>0.567088846494599</v>
      </c>
      <c r="I13" s="10" t="n">
        <v>0.48828015031879</v>
      </c>
      <c r="J13" s="10" t="n">
        <v>0.80562601294308</v>
      </c>
      <c r="K13" s="10" t="n">
        <v>0.421626105487004</v>
      </c>
      <c r="L13" s="11" t="n">
        <v>3.45402985236574</v>
      </c>
      <c r="M13" s="0" t="str">
        <f aca="false">IF(L13&lt;=2,"HOLDS","FAILS")</f>
        <v>FAILS</v>
      </c>
    </row>
    <row r="14" customFormat="false" ht="15" hidden="false" customHeight="false" outlineLevel="0" collapsed="false">
      <c r="A14" s="0" t="s">
        <v>31</v>
      </c>
      <c r="B14" s="0" t="n">
        <v>64</v>
      </c>
      <c r="C14" s="10" t="n">
        <v>0.695</v>
      </c>
      <c r="D14" s="10" t="n">
        <v>0.6663125</v>
      </c>
      <c r="E14" s="10" t="n">
        <v>0.56995</v>
      </c>
      <c r="F14" s="10" t="n">
        <v>0.755</v>
      </c>
      <c r="G14" s="0" t="str">
        <f aca="false">IF(AND(C14&gt;=E14,C14&lt;=F14),"INSIDE","OUTSIDE")</f>
        <v>INSIDE</v>
      </c>
      <c r="H14" s="10" t="n">
        <v>0.567088846494599</v>
      </c>
      <c r="I14" s="10" t="n">
        <v>0.48828015031879</v>
      </c>
      <c r="J14" s="10" t="n">
        <v>0.80562601294308</v>
      </c>
      <c r="K14" s="10" t="n">
        <v>0.421626105487004</v>
      </c>
      <c r="L14" s="11" t="n">
        <v>3.45402985236574</v>
      </c>
      <c r="M14" s="0" t="str">
        <f aca="false">IF(L14&lt;=2,"HOLDS","FAILS")</f>
        <v>FAILS</v>
      </c>
    </row>
    <row r="15" customFormat="false" ht="15" hidden="false" customHeight="false" outlineLevel="0" collapsed="false">
      <c r="A15" s="0" t="s">
        <v>31</v>
      </c>
      <c r="B15" s="0" t="n">
        <v>125</v>
      </c>
      <c r="C15" s="10" t="n">
        <v>0.725</v>
      </c>
      <c r="D15" s="10" t="n">
        <v>0.7196625</v>
      </c>
      <c r="E15" s="10" t="n">
        <v>0.605</v>
      </c>
      <c r="F15" s="10" t="n">
        <v>0.80505</v>
      </c>
      <c r="G15" s="0" t="str">
        <f aca="false">IF(AND(C15&gt;=E15,C15&lt;=F15),"INSIDE","OUTSIDE")</f>
        <v>INSIDE</v>
      </c>
      <c r="H15" s="10" t="n">
        <v>0.567088846494599</v>
      </c>
      <c r="I15" s="10" t="n">
        <v>0.48828015031879</v>
      </c>
      <c r="J15" s="10" t="n">
        <v>0.80562601294308</v>
      </c>
      <c r="K15" s="10" t="n">
        <v>0.421626105487004</v>
      </c>
      <c r="L15" s="11" t="n">
        <v>3.45402985236574</v>
      </c>
      <c r="M15" s="0" t="str">
        <f aca="false">IF(L15&lt;=2,"HOLDS","FAILS")</f>
        <v>FAILS</v>
      </c>
    </row>
    <row r="16" customFormat="false" ht="15" hidden="false" customHeight="false" outlineLevel="0" collapsed="false">
      <c r="A16" s="0" t="s">
        <v>31</v>
      </c>
      <c r="B16" s="0" t="n">
        <v>250</v>
      </c>
      <c r="C16" s="10" t="n">
        <v>0.75</v>
      </c>
      <c r="D16" s="10" t="n">
        <v>0.769875</v>
      </c>
      <c r="E16" s="10" t="n">
        <v>0.679975</v>
      </c>
      <c r="F16" s="10" t="n">
        <v>0.855075</v>
      </c>
      <c r="G16" s="0" t="str">
        <f aca="false">IF(AND(C16&gt;=E16,C16&lt;=F16),"INSIDE","OUTSIDE")</f>
        <v>INSIDE</v>
      </c>
      <c r="H16" s="10" t="n">
        <v>0.567088846494599</v>
      </c>
      <c r="I16" s="10" t="n">
        <v>0.48828015031879</v>
      </c>
      <c r="J16" s="10" t="n">
        <v>0.80562601294308</v>
      </c>
      <c r="K16" s="10" t="n">
        <v>0.421626105487004</v>
      </c>
      <c r="L16" s="11" t="n">
        <v>3.45402985236574</v>
      </c>
      <c r="M16" s="0" t="str">
        <f aca="false">IF(L16&lt;=2,"HOLDS","FAILS")</f>
        <v>FAILS</v>
      </c>
    </row>
    <row r="18" customFormat="false" ht="15" hidden="false" customHeight="false" outlineLevel="0" collapsed="false">
      <c r="A18" s="1" t="s">
        <v>81</v>
      </c>
    </row>
    <row r="19" customFormat="false" ht="15" hidden="false" customHeight="false" outlineLevel="0" collapsed="false">
      <c r="A19" s="0" t="s">
        <v>82</v>
      </c>
      <c r="B19" s="0" t="s">
        <v>83</v>
      </c>
      <c r="C19" s="6" t="n">
        <v>47</v>
      </c>
      <c r="D19" s="12" t="s">
        <v>84</v>
      </c>
      <c r="E19" s="6" t="n">
        <v>29</v>
      </c>
      <c r="F19" s="12" t="s">
        <v>85</v>
      </c>
      <c r="G19" s="4" t="n">
        <v>0.0252262051236088</v>
      </c>
    </row>
    <row r="20" customFormat="false" ht="15" hidden="false" customHeight="false" outlineLevel="0" collapsed="false">
      <c r="A20" s="0" t="s">
        <v>86</v>
      </c>
      <c r="B20" s="0" t="s">
        <v>83</v>
      </c>
      <c r="C20" s="6" t="n">
        <v>37</v>
      </c>
      <c r="D20" s="12" t="s">
        <v>84</v>
      </c>
      <c r="E20" s="6" t="n">
        <v>18</v>
      </c>
      <c r="F20" s="12" t="s">
        <v>85</v>
      </c>
      <c r="G20" s="4" t="n">
        <v>0.00722691676691386</v>
      </c>
    </row>
    <row r="21" customFormat="false" ht="15" hidden="false" customHeight="false" outlineLevel="0" collapsed="false">
      <c r="A21" s="0" t="s">
        <v>87</v>
      </c>
    </row>
    <row r="22" customFormat="false" ht="15" hidden="false" customHeight="false" outlineLevel="0" collapsed="false">
      <c r="A22" s="0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2026-10-30T11:44:47Z</dcterms:created>
  <dc:creator>openpyxl</dc:creator>
  <dc:description/>
  <dc:language>en-US</dc:language>
  <cp:lastModifiedBy/>
  <dcterms:modified xsi:type="dcterms:W3CDTF">2026-10-30T11:44:47Z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