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3"/>
    <sheet name="J1 cells" sheetId="2" state="visible" r:id="rId4"/>
    <sheet name="J2 Lstar" sheetId="3" state="visible" r:id="rId5"/>
    <sheet name="Sites D24 hz0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<sst xmlns="http://schemas.openxmlformats.org/spreadsheetml/2006/main" count="47" uniqueCount="35">
  <si>
    <t xml:space="preserve">Rule-only rerun, ibm_kingston, 2026-10-30</t>
  </si>
  <si>
    <t xml:space="preserve">Declaration</t>
  </si>
  <si>
    <t xml:space="preserve">rerun_rule_only_note.md, SHA-256 1f883a77...7952d0, fixed 14:02 CET</t>
  </si>
  <si>
    <t xml:space="preserve">Fetch</t>
  </si>
  <si>
    <t xml:space="preserve">14:02:07 CET (calibration 13:37:20 CET)</t>
  </si>
  <si>
    <t xml:space="preserve">Job</t>
  </si>
  <si>
    <t xml:space="preserve">dbi9fhene4hc73be4u50, submitted 14:12:21 CET, done 14:14:56 CET</t>
  </si>
  <si>
    <t xml:space="preserve">QPU</t>
  </si>
  <si>
    <t xml:space="preserve">52.2 s predicted, 41 s billed</t>
  </si>
  <si>
    <t xml:space="preserve">Today (compared with)</t>
  </si>
  <si>
    <t xml:space="preserve">test 2 dbi7r45ep8hs73anb5q0 (n 20, 36); test 3E dbi7rtene4hc73be2p8g (n 40, 72); calibration 11:02 CET</t>
  </si>
  <si>
    <t xml:space="preserve">J1</t>
  </si>
  <si>
    <t xml:space="preserve">cell AGREE if |rerun - today| &lt;= 2 sqrt(SE^2 + SE^2); judged if either &gt; 2 SE; REPRODUCED if &gt;= 80 % AGREE</t>
  </si>
  <si>
    <t xml:space="preserve">J2</t>
  </si>
  <si>
    <t xml:space="preserve">L* per (hz, n) AGREE within 2 combined SE</t>
  </si>
  <si>
    <t xml:space="preserve">Sites</t>
  </si>
  <si>
    <t xml:space="preserve">per measured qubit, minority rate min(p1, 1-p1) over the 4 echo points; 0 = perfect, 0.5 = random; red &gt; 0.44</t>
  </si>
  <si>
    <t xml:space="preserve">n</t>
  </si>
  <si>
    <t xml:space="preserve">hz</t>
  </si>
  <si>
    <t xml:space="preserve">D</t>
  </si>
  <si>
    <t xml:space="preserve">rho rerun</t>
  </si>
  <si>
    <t xml:space="preserve">SE rerun</t>
  </si>
  <si>
    <t xml:space="preserve">rho today</t>
  </si>
  <si>
    <t xml:space="preserve">SE today</t>
  </si>
  <si>
    <t xml:space="preserve">diff</t>
  </si>
  <si>
    <t xml:space="preserve">tol (2 SE comb.)</t>
  </si>
  <si>
    <t xml:space="preserve">judged</t>
  </si>
  <si>
    <t xml:space="preserve">verdict</t>
  </si>
  <si>
    <t xml:space="preserve">AGREE</t>
  </si>
  <si>
    <t xml:space="preserve">L* rerun</t>
  </si>
  <si>
    <t xml:space="preserve">L* today</t>
  </si>
  <si>
    <t xml:space="preserve">ring index</t>
  </si>
  <si>
    <t xml:space="preserve">physical qubit</t>
  </si>
  <si>
    <t xml:space="preserve">rate today</t>
  </si>
  <si>
    <t xml:space="preserve">rate rerun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</si>
</sst>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General"/>
    <numFmt numFmtId="167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</row>
    <row r="3" customFormat="false" ht="15" hidden="false" customHeight="false" outlineLevel="0" collapsed="false">
      <c r="A3" s="0" t="s">
        <v>3</v>
      </c>
      <c r="B3" s="0" t="s">
        <v>4</v>
      </c>
    </row>
    <row r="4" customFormat="false" ht="15" hidden="false" customHeight="false" outlineLevel="0" collapsed="false">
      <c r="A4" s="0" t="s">
        <v>5</v>
      </c>
      <c r="B4" s="0" t="s">
        <v>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3"/>
  </cols>
  <sheetData>
    <row r="1" customFormat="false" ht="28.35" hidden="false" customHeight="false" outlineLevel="0" collapsed="false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</row>
    <row r="2" customFormat="false" ht="15" hidden="false" customHeight="false" outlineLevel="0" collapsed="false">
      <c r="A2" s="0" t="n">
        <v>20</v>
      </c>
      <c r="B2" s="0" t="n">
        <v>0</v>
      </c>
      <c r="C2" s="0" t="n">
        <v>24</v>
      </c>
      <c r="D2" s="3" t="n">
        <v>0.34151</v>
      </c>
      <c r="E2" s="3" t="n">
        <v>0.01066</v>
      </c>
      <c r="F2" s="3" t="n">
        <v>0.36626</v>
      </c>
      <c r="G2" s="3" t="n">
        <v>0.01078</v>
      </c>
      <c r="H2" s="3" t="n">
        <f aca="false">D2-F2</f>
        <v>-0.02475</v>
      </c>
      <c r="I2" s="3" t="n">
        <f aca="false">2*SQRT(E2^2+G2^2)</f>
        <v>0.0303212136960248</v>
      </c>
      <c r="J2" s="4" t="b">
        <f aca="false">OR(D2&gt;2*E2,F2&gt;2*G2)</f>
        <v>1</v>
      </c>
      <c r="K2" s="0" t="str">
        <f aca="false">IF(J2,IF(ABS(H2)&lt;=I2,"AGREE","DIFFER"),"NOT JUDGED")</f>
        <v>AGREE</v>
      </c>
    </row>
    <row r="3" customFormat="false" ht="15" hidden="false" customHeight="false" outlineLevel="0" collapsed="false">
      <c r="A3" s="0" t="n">
        <v>20</v>
      </c>
      <c r="B3" s="0" t="n">
        <v>0</v>
      </c>
      <c r="C3" s="0" t="n">
        <v>50</v>
      </c>
      <c r="D3" s="3" t="n">
        <v>0.09696</v>
      </c>
      <c r="E3" s="3" t="n">
        <v>0.00825</v>
      </c>
      <c r="F3" s="3" t="n">
        <v>0.09859</v>
      </c>
      <c r="G3" s="3" t="n">
        <v>0.00851</v>
      </c>
      <c r="H3" s="3" t="n">
        <f aca="false">D3-F3</f>
        <v>-0.00162999999999999</v>
      </c>
      <c r="I3" s="3" t="n">
        <f aca="false">2*SQRT(E3^2+G3^2)</f>
        <v>0.0237050711874063</v>
      </c>
      <c r="J3" s="4" t="b">
        <f aca="false">OR(D3&gt;2*E3,F3&gt;2*G3)</f>
        <v>1</v>
      </c>
      <c r="K3" s="0" t="str">
        <f aca="false">IF(J3,IF(ABS(H3)&lt;=I3,"AGREE","DIFFER"),"NOT JUDGED")</f>
        <v>AGREE</v>
      </c>
    </row>
    <row r="4" customFormat="false" ht="15" hidden="false" customHeight="false" outlineLevel="0" collapsed="false">
      <c r="A4" s="0" t="n">
        <v>20</v>
      </c>
      <c r="B4" s="0" t="n">
        <v>0</v>
      </c>
      <c r="C4" s="0" t="n">
        <v>100</v>
      </c>
      <c r="D4" s="3" t="n">
        <v>0.00384</v>
      </c>
      <c r="E4" s="3" t="n">
        <v>0.006</v>
      </c>
      <c r="F4" s="3" t="n">
        <v>0.00696</v>
      </c>
      <c r="G4" s="3" t="n">
        <v>0.0059</v>
      </c>
      <c r="H4" s="3" t="n">
        <f aca="false">D4-F4</f>
        <v>-0.00312</v>
      </c>
      <c r="I4" s="3" t="n">
        <f aca="false">2*SQRT(E4^2+G4^2)</f>
        <v>0.0168297355891291</v>
      </c>
      <c r="J4" s="4" t="b">
        <f aca="false">OR(D4&gt;2*E4,F4&gt;2*G4)</f>
        <v>0</v>
      </c>
      <c r="K4" s="0" t="str">
        <f aca="false">IF(J4,IF(ABS(H4)&lt;=I4,"AGREE","DIFFER"),"NOT JUDGED")</f>
        <v>NOT JUDGED</v>
      </c>
    </row>
    <row r="5" customFormat="false" ht="15" hidden="false" customHeight="false" outlineLevel="0" collapsed="false">
      <c r="A5" s="0" t="n">
        <v>20</v>
      </c>
      <c r="B5" s="0" t="n">
        <v>0.1</v>
      </c>
      <c r="C5" s="0" t="n">
        <v>24</v>
      </c>
      <c r="D5" s="3" t="n">
        <v>0.3733</v>
      </c>
      <c r="E5" s="3" t="n">
        <v>0.01023</v>
      </c>
      <c r="F5" s="3" t="n">
        <v>0.38738</v>
      </c>
      <c r="G5" s="3" t="n">
        <v>0.01018</v>
      </c>
      <c r="H5" s="3" t="n">
        <f aca="false">D5-F5</f>
        <v>-0.01408</v>
      </c>
      <c r="I5" s="3" t="n">
        <f aca="false">2*SQRT(E5^2+G5^2)</f>
        <v>0.0288641854206905</v>
      </c>
      <c r="J5" s="4" t="b">
        <f aca="false">OR(D5&gt;2*E5,F5&gt;2*G5)</f>
        <v>1</v>
      </c>
      <c r="K5" s="0" t="str">
        <f aca="false">IF(J5,IF(ABS(H5)&lt;=I5,"AGREE","DIFFER"),"NOT JUDGED")</f>
        <v>AGREE</v>
      </c>
    </row>
    <row r="6" customFormat="false" ht="15" hidden="false" customHeight="false" outlineLevel="0" collapsed="false">
      <c r="A6" s="0" t="n">
        <v>20</v>
      </c>
      <c r="B6" s="0" t="n">
        <v>0.1</v>
      </c>
      <c r="C6" s="0" t="n">
        <v>50</v>
      </c>
      <c r="D6" s="3" t="n">
        <v>0.06948</v>
      </c>
      <c r="E6" s="3" t="n">
        <v>0.00773</v>
      </c>
      <c r="F6" s="3" t="n">
        <v>0.10412</v>
      </c>
      <c r="G6" s="3" t="n">
        <v>0.00829</v>
      </c>
      <c r="H6" s="3" t="n">
        <f aca="false">D6-F6</f>
        <v>-0.03464</v>
      </c>
      <c r="I6" s="3" t="n">
        <f aca="false">2*SQRT(E6^2+G6^2)</f>
        <v>0.0226695390336901</v>
      </c>
      <c r="J6" s="4" t="b">
        <f aca="false">OR(D6&gt;2*E6,F6&gt;2*G6)</f>
        <v>1</v>
      </c>
      <c r="K6" s="0" t="str">
        <f aca="false">IF(J6,IF(ABS(H6)&lt;=I6,"AGREE","DIFFER"),"NOT JUDGED")</f>
        <v>DIFFER</v>
      </c>
    </row>
    <row r="7" customFormat="false" ht="15" hidden="false" customHeight="false" outlineLevel="0" collapsed="false">
      <c r="A7" s="0" t="n">
        <v>20</v>
      </c>
      <c r="B7" s="0" t="n">
        <v>0.1</v>
      </c>
      <c r="C7" s="0" t="n">
        <v>100</v>
      </c>
      <c r="D7" s="3" t="n">
        <v>0.00455</v>
      </c>
      <c r="E7" s="3" t="n">
        <v>0.00565</v>
      </c>
      <c r="F7" s="3" t="n">
        <v>0.00056</v>
      </c>
      <c r="G7" s="3" t="n">
        <v>0.00575</v>
      </c>
      <c r="H7" s="3" t="n">
        <f aca="false">D7-F7</f>
        <v>0.00399</v>
      </c>
      <c r="I7" s="3" t="n">
        <f aca="false">2*SQRT(E7^2+G7^2)</f>
        <v>0.0161226548682281</v>
      </c>
      <c r="J7" s="4" t="b">
        <f aca="false">OR(D7&gt;2*E7,F7&gt;2*G7)</f>
        <v>0</v>
      </c>
      <c r="K7" s="0" t="str">
        <f aca="false">IF(J7,IF(ABS(H7)&lt;=I7,"AGREE","DIFFER"),"NOT JUDGED")</f>
        <v>NOT JUDGED</v>
      </c>
    </row>
    <row r="8" customFormat="false" ht="15" hidden="false" customHeight="false" outlineLevel="0" collapsed="false">
      <c r="A8" s="0" t="n">
        <v>20</v>
      </c>
      <c r="B8" s="0" t="n">
        <v>0.3</v>
      </c>
      <c r="C8" s="0" t="n">
        <v>24</v>
      </c>
      <c r="D8" s="3" t="n">
        <v>0.40007</v>
      </c>
      <c r="E8" s="3" t="n">
        <v>0.0097</v>
      </c>
      <c r="F8" s="3" t="n">
        <v>0.4017</v>
      </c>
      <c r="G8" s="3" t="n">
        <v>0.00971</v>
      </c>
      <c r="H8" s="3" t="n">
        <f aca="false">D8-F8</f>
        <v>-0.00163000000000002</v>
      </c>
      <c r="I8" s="3" t="n">
        <f aca="false">2*SQRT(E8^2+G8^2)</f>
        <v>0.027449888888664</v>
      </c>
      <c r="J8" s="4" t="b">
        <f aca="false">OR(D8&gt;2*E8,F8&gt;2*G8)</f>
        <v>1</v>
      </c>
      <c r="K8" s="0" t="str">
        <f aca="false">IF(J8,IF(ABS(H8)&lt;=I8,"AGREE","DIFFER"),"NOT JUDGED")</f>
        <v>AGREE</v>
      </c>
    </row>
    <row r="9" customFormat="false" ht="15" hidden="false" customHeight="false" outlineLevel="0" collapsed="false">
      <c r="A9" s="0" t="n">
        <v>20</v>
      </c>
      <c r="B9" s="0" t="n">
        <v>0.3</v>
      </c>
      <c r="C9" s="0" t="n">
        <v>50</v>
      </c>
      <c r="D9" s="3" t="n">
        <v>0.05803</v>
      </c>
      <c r="E9" s="3" t="n">
        <v>0.00731</v>
      </c>
      <c r="F9" s="3" t="n">
        <v>0.07699</v>
      </c>
      <c r="G9" s="3" t="n">
        <v>0.00769</v>
      </c>
      <c r="H9" s="3" t="n">
        <f aca="false">D9-F9</f>
        <v>-0.01896</v>
      </c>
      <c r="I9" s="3" t="n">
        <f aca="false">2*SQRT(E9^2+G9^2)</f>
        <v>0.0212200094250686</v>
      </c>
      <c r="J9" s="4" t="b">
        <f aca="false">OR(D9&gt;2*E9,F9&gt;2*G9)</f>
        <v>1</v>
      </c>
      <c r="K9" s="0" t="str">
        <f aca="false">IF(J9,IF(ABS(H9)&lt;=I9,"AGREE","DIFFER"),"NOT JUDGED")</f>
        <v>AGREE</v>
      </c>
    </row>
    <row r="10" customFormat="false" ht="15" hidden="false" customHeight="false" outlineLevel="0" collapsed="false">
      <c r="A10" s="0" t="n">
        <v>20</v>
      </c>
      <c r="B10" s="0" t="n">
        <v>0.3</v>
      </c>
      <c r="C10" s="0" t="n">
        <v>100</v>
      </c>
      <c r="D10" s="3" t="n">
        <v>0.00097</v>
      </c>
      <c r="E10" s="3" t="n">
        <v>0.00519</v>
      </c>
      <c r="F10" s="3" t="n">
        <v>0.00112</v>
      </c>
      <c r="G10" s="3" t="n">
        <v>0.00538</v>
      </c>
      <c r="H10" s="3" t="n">
        <f aca="false">D10-F10</f>
        <v>-0.00015</v>
      </c>
      <c r="I10" s="3" t="n">
        <f aca="false">2*SQRT(E10^2+G10^2)</f>
        <v>0.0149506521596886</v>
      </c>
      <c r="J10" s="4" t="b">
        <f aca="false">OR(D10&gt;2*E10,F10&gt;2*G10)</f>
        <v>0</v>
      </c>
      <c r="K10" s="0" t="str">
        <f aca="false">IF(J10,IF(ABS(H10)&lt;=I10,"AGREE","DIFFER"),"NOT JUDGED")</f>
        <v>NOT JUDGED</v>
      </c>
    </row>
    <row r="11" customFormat="false" ht="15" hidden="false" customHeight="false" outlineLevel="0" collapsed="false">
      <c r="A11" s="0" t="n">
        <v>36</v>
      </c>
      <c r="B11" s="0" t="n">
        <v>0</v>
      </c>
      <c r="C11" s="0" t="n">
        <v>24</v>
      </c>
      <c r="D11" s="3" t="n">
        <v>0.45503</v>
      </c>
      <c r="E11" s="3" t="n">
        <v>0.00822</v>
      </c>
      <c r="F11" s="3" t="n">
        <v>0.42621</v>
      </c>
      <c r="G11" s="3" t="n">
        <v>0.00805</v>
      </c>
      <c r="H11" s="3" t="n">
        <f aca="false">D11-F11</f>
        <v>0.02882</v>
      </c>
      <c r="I11" s="3" t="n">
        <f aca="false">2*SQRT(E11^2+G11^2)</f>
        <v>0.0230105106418784</v>
      </c>
      <c r="J11" s="4" t="b">
        <f aca="false">OR(D11&gt;2*E11,F11&gt;2*G11)</f>
        <v>1</v>
      </c>
      <c r="K11" s="0" t="str">
        <f aca="false">IF(J11,IF(ABS(H11)&lt;=I11,"AGREE","DIFFER"),"NOT JUDGED")</f>
        <v>DIFFER</v>
      </c>
    </row>
    <row r="12" customFormat="false" ht="15" hidden="false" customHeight="false" outlineLevel="0" collapsed="false">
      <c r="A12" s="0" t="n">
        <v>36</v>
      </c>
      <c r="B12" s="0" t="n">
        <v>0</v>
      </c>
      <c r="C12" s="0" t="n">
        <v>50</v>
      </c>
      <c r="D12" s="3" t="n">
        <v>0.05901</v>
      </c>
      <c r="E12" s="3" t="n">
        <v>0.00708</v>
      </c>
      <c r="F12" s="3" t="n">
        <v>0.05705</v>
      </c>
      <c r="G12" s="3" t="n">
        <v>0.00635</v>
      </c>
      <c r="H12" s="3" t="n">
        <f aca="false">D12-F12</f>
        <v>0.00196</v>
      </c>
      <c r="I12" s="3" t="n">
        <f aca="false">2*SQRT(E12^2+G12^2)</f>
        <v>0.0190209253192372</v>
      </c>
      <c r="J12" s="4" t="b">
        <f aca="false">OR(D12&gt;2*E12,F12&gt;2*G12)</f>
        <v>1</v>
      </c>
      <c r="K12" s="0" t="str">
        <f aca="false">IF(J12,IF(ABS(H12)&lt;=I12,"AGREE","DIFFER"),"NOT JUDGED")</f>
        <v>AGREE</v>
      </c>
    </row>
    <row r="13" customFormat="false" ht="15" hidden="false" customHeight="false" outlineLevel="0" collapsed="false">
      <c r="A13" s="0" t="n">
        <v>36</v>
      </c>
      <c r="B13" s="0" t="n">
        <v>0</v>
      </c>
      <c r="C13" s="0" t="n">
        <v>100</v>
      </c>
      <c r="D13" s="3" t="n">
        <v>0.00069</v>
      </c>
      <c r="E13" s="3" t="n">
        <v>0.00459</v>
      </c>
      <c r="F13" s="3" t="n">
        <v>0.00433</v>
      </c>
      <c r="G13" s="3" t="n">
        <v>0.00447</v>
      </c>
      <c r="H13" s="3" t="n">
        <f aca="false">D13-F13</f>
        <v>-0.00364</v>
      </c>
      <c r="I13" s="3" t="n">
        <f aca="false">2*SQRT(E13^2+G13^2)</f>
        <v>0.0128138987041415</v>
      </c>
      <c r="J13" s="4" t="b">
        <f aca="false">OR(D13&gt;2*E13,F13&gt;2*G13)</f>
        <v>0</v>
      </c>
      <c r="K13" s="0" t="str">
        <f aca="false">IF(J13,IF(ABS(H13)&lt;=I13,"AGREE","DIFFER"),"NOT JUDGED")</f>
        <v>NOT JUDGED</v>
      </c>
    </row>
    <row r="14" customFormat="false" ht="15" hidden="false" customHeight="false" outlineLevel="0" collapsed="false">
      <c r="A14" s="0" t="n">
        <v>36</v>
      </c>
      <c r="B14" s="0" t="n">
        <v>0.1</v>
      </c>
      <c r="C14" s="0" t="n">
        <v>24</v>
      </c>
      <c r="D14" s="3" t="n">
        <v>0.47613</v>
      </c>
      <c r="E14" s="3" t="n">
        <v>0.00779</v>
      </c>
      <c r="F14" s="3" t="n">
        <v>0.43608</v>
      </c>
      <c r="G14" s="3" t="n">
        <v>0.00767</v>
      </c>
      <c r="H14" s="3" t="n">
        <f aca="false">D14-F14</f>
        <v>0.04005</v>
      </c>
      <c r="I14" s="3" t="n">
        <f aca="false">2*SQRT(E14^2+G14^2)</f>
        <v>0.0218644002890544</v>
      </c>
      <c r="J14" s="4" t="b">
        <f aca="false">OR(D14&gt;2*E14,F14&gt;2*G14)</f>
        <v>1</v>
      </c>
      <c r="K14" s="0" t="str">
        <f aca="false">IF(J14,IF(ABS(H14)&lt;=I14,"AGREE","DIFFER"),"NOT JUDGED")</f>
        <v>DIFFER</v>
      </c>
    </row>
    <row r="15" customFormat="false" ht="15" hidden="false" customHeight="false" outlineLevel="0" collapsed="false">
      <c r="A15" s="0" t="n">
        <v>36</v>
      </c>
      <c r="B15" s="0" t="n">
        <v>0.1</v>
      </c>
      <c r="C15" s="0" t="n">
        <v>50</v>
      </c>
      <c r="D15" s="3" t="n">
        <v>0.09092</v>
      </c>
      <c r="E15" s="3" t="n">
        <v>0.00647</v>
      </c>
      <c r="F15" s="3" t="n">
        <v>0.06228</v>
      </c>
      <c r="G15" s="3" t="n">
        <v>0.0059</v>
      </c>
      <c r="H15" s="3" t="n">
        <f aca="false">D15-F15</f>
        <v>0.02864</v>
      </c>
      <c r="I15" s="3" t="n">
        <f aca="false">2*SQRT(E15^2+G15^2)</f>
        <v>0.0175123841894815</v>
      </c>
      <c r="J15" s="4" t="b">
        <f aca="false">OR(D15&gt;2*E15,F15&gt;2*G15)</f>
        <v>1</v>
      </c>
      <c r="K15" s="0" t="str">
        <f aca="false">IF(J15,IF(ABS(H15)&lt;=I15,"AGREE","DIFFER"),"NOT JUDGED")</f>
        <v>DIFFER</v>
      </c>
    </row>
    <row r="16" customFormat="false" ht="15" hidden="false" customHeight="false" outlineLevel="0" collapsed="false">
      <c r="A16" s="0" t="n">
        <v>36</v>
      </c>
      <c r="B16" s="0" t="n">
        <v>0.1</v>
      </c>
      <c r="C16" s="0" t="n">
        <v>100</v>
      </c>
      <c r="D16" s="3" t="n">
        <v>0.00075</v>
      </c>
      <c r="E16" s="3" t="n">
        <v>0.00438</v>
      </c>
      <c r="F16" s="3" t="n">
        <v>0.00026</v>
      </c>
      <c r="G16" s="3" t="n">
        <v>0.00432</v>
      </c>
      <c r="H16" s="3" t="n">
        <f aca="false">D16-F16</f>
        <v>0.00049</v>
      </c>
      <c r="I16" s="3" t="n">
        <f aca="false">2*SQRT(E16^2+G16^2)</f>
        <v>0.0123039505850763</v>
      </c>
      <c r="J16" s="4" t="b">
        <f aca="false">OR(D16&gt;2*E16,F16&gt;2*G16)</f>
        <v>0</v>
      </c>
      <c r="K16" s="0" t="str">
        <f aca="false">IF(J16,IF(ABS(H16)&lt;=I16,"AGREE","DIFFER"),"NOT JUDGED")</f>
        <v>NOT JUDGED</v>
      </c>
    </row>
    <row r="17" customFormat="false" ht="15" hidden="false" customHeight="false" outlineLevel="0" collapsed="false">
      <c r="A17" s="0" t="n">
        <v>36</v>
      </c>
      <c r="B17" s="0" t="n">
        <v>0.3</v>
      </c>
      <c r="C17" s="0" t="n">
        <v>24</v>
      </c>
      <c r="D17" s="3" t="n">
        <v>0.48895</v>
      </c>
      <c r="E17" s="3" t="n">
        <v>0.00726</v>
      </c>
      <c r="F17" s="3" t="n">
        <v>0.43826</v>
      </c>
      <c r="G17" s="3" t="n">
        <v>0.00719</v>
      </c>
      <c r="H17" s="3" t="n">
        <f aca="false">D17-F17</f>
        <v>0.05069</v>
      </c>
      <c r="I17" s="3" t="n">
        <f aca="false">2*SQRT(E17^2+G17^2)</f>
        <v>0.0204356257550387</v>
      </c>
      <c r="J17" s="4" t="b">
        <f aca="false">OR(D17&gt;2*E17,F17&gt;2*G17)</f>
        <v>1</v>
      </c>
      <c r="K17" s="0" t="str">
        <f aca="false">IF(J17,IF(ABS(H17)&lt;=I17,"AGREE","DIFFER"),"NOT JUDGED")</f>
        <v>DIFFER</v>
      </c>
    </row>
    <row r="18" customFormat="false" ht="15" hidden="false" customHeight="false" outlineLevel="0" collapsed="false">
      <c r="A18" s="0" t="n">
        <v>36</v>
      </c>
      <c r="B18" s="0" t="n">
        <v>0.3</v>
      </c>
      <c r="C18" s="0" t="n">
        <v>50</v>
      </c>
      <c r="D18" s="3" t="n">
        <v>0.07923</v>
      </c>
      <c r="E18" s="3" t="n">
        <v>0.00606</v>
      </c>
      <c r="F18" s="3" t="n">
        <v>0.04836</v>
      </c>
      <c r="G18" s="3" t="n">
        <v>0.00524</v>
      </c>
      <c r="H18" s="3" t="n">
        <f aca="false">D18-F18</f>
        <v>0.03087</v>
      </c>
      <c r="I18" s="3" t="n">
        <f aca="false">2*SQRT(E18^2+G18^2)</f>
        <v>0.016022633990702</v>
      </c>
      <c r="J18" s="4" t="b">
        <f aca="false">OR(D18&gt;2*E18,F18&gt;2*G18)</f>
        <v>1</v>
      </c>
      <c r="K18" s="0" t="str">
        <f aca="false">IF(J18,IF(ABS(H18)&lt;=I18,"AGREE","DIFFER"),"NOT JUDGED")</f>
        <v>DIFFER</v>
      </c>
    </row>
    <row r="19" customFormat="false" ht="15" hidden="false" customHeight="false" outlineLevel="0" collapsed="false">
      <c r="A19" s="0" t="n">
        <v>36</v>
      </c>
      <c r="B19" s="0" t="n">
        <v>0.3</v>
      </c>
      <c r="C19" s="0" t="n">
        <v>100</v>
      </c>
      <c r="D19" s="3" t="n">
        <v>0.00468</v>
      </c>
      <c r="E19" s="3" t="n">
        <v>0.00401</v>
      </c>
      <c r="F19" s="3" t="n">
        <v>0.00392</v>
      </c>
      <c r="G19" s="3" t="n">
        <v>0.00396</v>
      </c>
      <c r="H19" s="3" t="n">
        <f aca="false">D19-F19</f>
        <v>0.00076</v>
      </c>
      <c r="I19" s="3" t="n">
        <f aca="false">2*SQRT(E19^2+G19^2)</f>
        <v>0.0112715038925602</v>
      </c>
      <c r="J19" s="4" t="b">
        <f aca="false">OR(D19&gt;2*E19,F19&gt;2*G19)</f>
        <v>0</v>
      </c>
      <c r="K19" s="0" t="str">
        <f aca="false">IF(J19,IF(ABS(H19)&lt;=I19,"AGREE","DIFFER"),"NOT JUDGED")</f>
        <v>NOT JUDGED</v>
      </c>
    </row>
    <row r="20" customFormat="false" ht="15" hidden="false" customHeight="false" outlineLevel="0" collapsed="false">
      <c r="A20" s="0" t="n">
        <v>40</v>
      </c>
      <c r="B20" s="0" t="n">
        <v>0</v>
      </c>
      <c r="C20" s="0" t="n">
        <v>24</v>
      </c>
      <c r="D20" s="3" t="n">
        <v>0.18343</v>
      </c>
      <c r="E20" s="3" t="n">
        <v>0.00566</v>
      </c>
      <c r="F20" s="3" t="n">
        <v>0.17267</v>
      </c>
      <c r="G20" s="3" t="n">
        <v>0.00561</v>
      </c>
      <c r="H20" s="3" t="n">
        <f aca="false">D20-F20</f>
        <v>0.01076</v>
      </c>
      <c r="I20" s="3" t="n">
        <f aca="false">2*SQRT(E20^2+G20^2)</f>
        <v>0.0159383437031581</v>
      </c>
      <c r="J20" s="4" t="b">
        <f aca="false">OR(D20&gt;2*E20,F20&gt;2*G20)</f>
        <v>1</v>
      </c>
      <c r="K20" s="0" t="str">
        <f aca="false">IF(J20,IF(ABS(H20)&lt;=I20,"AGREE","DIFFER"),"NOT JUDGED")</f>
        <v>AGREE</v>
      </c>
    </row>
    <row r="21" customFormat="false" ht="15" hidden="false" customHeight="false" outlineLevel="0" collapsed="false">
      <c r="A21" s="0" t="n">
        <v>40</v>
      </c>
      <c r="B21" s="0" t="n">
        <v>0</v>
      </c>
      <c r="C21" s="0" t="n">
        <v>50</v>
      </c>
      <c r="D21" s="3" t="n">
        <v>-0.02999</v>
      </c>
      <c r="E21" s="3" t="n">
        <v>0.00433</v>
      </c>
      <c r="F21" s="3" t="n">
        <v>-0.02075</v>
      </c>
      <c r="G21" s="3" t="n">
        <v>0.00435</v>
      </c>
      <c r="H21" s="3" t="n">
        <f aca="false">D21-F21</f>
        <v>-0.00924</v>
      </c>
      <c r="I21" s="3" t="n">
        <f aca="false">2*SQRT(E21^2+G21^2)</f>
        <v>0.0122754063069212</v>
      </c>
      <c r="J21" s="4" t="b">
        <f aca="false">OR(D21&gt;2*E21,F21&gt;2*G21)</f>
        <v>0</v>
      </c>
      <c r="K21" s="0" t="str">
        <f aca="false">IF(J21,IF(ABS(H21)&lt;=I21,"AGREE","DIFFER"),"NOT JUDGED")</f>
        <v>NOT JUDGED</v>
      </c>
    </row>
    <row r="22" customFormat="false" ht="15" hidden="false" customHeight="false" outlineLevel="0" collapsed="false">
      <c r="A22" s="0" t="n">
        <v>40</v>
      </c>
      <c r="B22" s="0" t="n">
        <v>0</v>
      </c>
      <c r="C22" s="0" t="n">
        <v>100</v>
      </c>
      <c r="D22" s="3" t="n">
        <v>0.00075</v>
      </c>
      <c r="E22" s="3" t="n">
        <v>0.00377</v>
      </c>
      <c r="F22" s="3" t="n">
        <v>-0.00752</v>
      </c>
      <c r="G22" s="3" t="n">
        <v>0.00374</v>
      </c>
      <c r="H22" s="3" t="n">
        <f aca="false">D22-F22</f>
        <v>0.00827</v>
      </c>
      <c r="I22" s="3" t="n">
        <f aca="false">2*SQRT(E22^2+G22^2)</f>
        <v>0.0106208285929112</v>
      </c>
      <c r="J22" s="4" t="b">
        <f aca="false">OR(D22&gt;2*E22,F22&gt;2*G22)</f>
        <v>0</v>
      </c>
      <c r="K22" s="0" t="str">
        <f aca="false">IF(J22,IF(ABS(H22)&lt;=I22,"AGREE","DIFFER"),"NOT JUDGED")</f>
        <v>NOT JUDGED</v>
      </c>
    </row>
    <row r="23" customFormat="false" ht="15" hidden="false" customHeight="false" outlineLevel="0" collapsed="false">
      <c r="A23" s="0" t="n">
        <v>40</v>
      </c>
      <c r="B23" s="0" t="n">
        <v>0.1</v>
      </c>
      <c r="C23" s="0" t="n">
        <v>24</v>
      </c>
      <c r="D23" s="3" t="n">
        <v>0.21504</v>
      </c>
      <c r="E23" s="3" t="n">
        <v>0.00544</v>
      </c>
      <c r="F23" s="3" t="n">
        <v>0.20539</v>
      </c>
      <c r="G23" s="3" t="n">
        <v>0.00544</v>
      </c>
      <c r="H23" s="3" t="n">
        <f aca="false">D23-F23</f>
        <v>0.00965000000000002</v>
      </c>
      <c r="I23" s="3" t="n">
        <f aca="false">2*SQRT(E23^2+G23^2)</f>
        <v>0.0153866435586193</v>
      </c>
      <c r="J23" s="4" t="b">
        <f aca="false">OR(D23&gt;2*E23,F23&gt;2*G23)</f>
        <v>1</v>
      </c>
      <c r="K23" s="0" t="str">
        <f aca="false">IF(J23,IF(ABS(H23)&lt;=I23,"AGREE","DIFFER"),"NOT JUDGED")</f>
        <v>AGREE</v>
      </c>
    </row>
    <row r="24" customFormat="false" ht="15" hidden="false" customHeight="false" outlineLevel="0" collapsed="false">
      <c r="A24" s="0" t="n">
        <v>40</v>
      </c>
      <c r="B24" s="0" t="n">
        <v>0.1</v>
      </c>
      <c r="C24" s="0" t="n">
        <v>50</v>
      </c>
      <c r="D24" s="3" t="n">
        <v>-0.00057</v>
      </c>
      <c r="E24" s="3" t="n">
        <v>0.00414</v>
      </c>
      <c r="F24" s="3" t="n">
        <v>0.00075</v>
      </c>
      <c r="G24" s="3" t="n">
        <v>0.00417</v>
      </c>
      <c r="H24" s="3" t="n">
        <f aca="false">D24-F24</f>
        <v>-0.00132</v>
      </c>
      <c r="I24" s="3" t="n">
        <f aca="false">2*SQRT(E24^2+G24^2)</f>
        <v>0.0117521912850328</v>
      </c>
      <c r="J24" s="4" t="b">
        <f aca="false">OR(D24&gt;2*E24,F24&gt;2*G24)</f>
        <v>0</v>
      </c>
      <c r="K24" s="0" t="str">
        <f aca="false">IF(J24,IF(ABS(H24)&lt;=I24,"AGREE","DIFFER"),"NOT JUDGED")</f>
        <v>NOT JUDGED</v>
      </c>
    </row>
    <row r="25" customFormat="false" ht="15" hidden="false" customHeight="false" outlineLevel="0" collapsed="false">
      <c r="A25" s="0" t="n">
        <v>40</v>
      </c>
      <c r="B25" s="0" t="n">
        <v>0.1</v>
      </c>
      <c r="C25" s="0" t="n">
        <v>100</v>
      </c>
      <c r="D25" s="3" t="n">
        <v>0.00267</v>
      </c>
      <c r="E25" s="3" t="n">
        <v>0.00383</v>
      </c>
      <c r="F25" s="3" t="n">
        <v>-0.00142</v>
      </c>
      <c r="G25" s="3" t="n">
        <v>0.00376</v>
      </c>
      <c r="H25" s="3" t="n">
        <f aca="false">D25-F25</f>
        <v>0.00409</v>
      </c>
      <c r="I25" s="3" t="n">
        <f aca="false">2*SQRT(E25^2+G25^2)</f>
        <v>0.010734337427154</v>
      </c>
      <c r="J25" s="4" t="b">
        <f aca="false">OR(D25&gt;2*E25,F25&gt;2*G25)</f>
        <v>0</v>
      </c>
      <c r="K25" s="0" t="str">
        <f aca="false">IF(J25,IF(ABS(H25)&lt;=I25,"AGREE","DIFFER"),"NOT JUDGED")</f>
        <v>NOT JUDGED</v>
      </c>
    </row>
    <row r="26" customFormat="false" ht="15" hidden="false" customHeight="false" outlineLevel="0" collapsed="false">
      <c r="A26" s="0" t="n">
        <v>40</v>
      </c>
      <c r="B26" s="0" t="n">
        <v>0.3</v>
      </c>
      <c r="C26" s="0" t="n">
        <v>24</v>
      </c>
      <c r="D26" s="3" t="n">
        <v>0.25932</v>
      </c>
      <c r="E26" s="3" t="n">
        <v>0.00538</v>
      </c>
      <c r="F26" s="3" t="n">
        <v>0.25326</v>
      </c>
      <c r="G26" s="3" t="n">
        <v>0.00535</v>
      </c>
      <c r="H26" s="3" t="n">
        <f aca="false">D26-F26</f>
        <v>0.00606000000000001</v>
      </c>
      <c r="I26" s="3" t="n">
        <f aca="false">2*SQRT(E26^2+G26^2)</f>
        <v>0.015174570834129</v>
      </c>
      <c r="J26" s="4" t="b">
        <f aca="false">OR(D26&gt;2*E26,F26&gt;2*G26)</f>
        <v>1</v>
      </c>
      <c r="K26" s="0" t="str">
        <f aca="false">IF(J26,IF(ABS(H26)&lt;=I26,"AGREE","DIFFER"),"NOT JUDGED")</f>
        <v>AGREE</v>
      </c>
    </row>
    <row r="27" customFormat="false" ht="15" hidden="false" customHeight="false" outlineLevel="0" collapsed="false">
      <c r="A27" s="0" t="n">
        <v>40</v>
      </c>
      <c r="B27" s="0" t="n">
        <v>0.3</v>
      </c>
      <c r="C27" s="0" t="n">
        <v>50</v>
      </c>
      <c r="D27" s="3" t="n">
        <v>0.00036</v>
      </c>
      <c r="E27" s="3" t="n">
        <v>0.00385</v>
      </c>
      <c r="F27" s="3" t="n">
        <v>0.0095</v>
      </c>
      <c r="G27" s="3" t="n">
        <v>0.00395</v>
      </c>
      <c r="H27" s="3" t="n">
        <f aca="false">D27-F27</f>
        <v>-0.00914</v>
      </c>
      <c r="I27" s="3" t="n">
        <f aca="false">2*SQRT(E27^2+G27^2)</f>
        <v>0.0110317722964173</v>
      </c>
      <c r="J27" s="4" t="b">
        <f aca="false">OR(D27&gt;2*E27,F27&gt;2*G27)</f>
        <v>1</v>
      </c>
      <c r="K27" s="0" t="str">
        <f aca="false">IF(J27,IF(ABS(H27)&lt;=I27,"AGREE","DIFFER"),"NOT JUDGED")</f>
        <v>AGREE</v>
      </c>
    </row>
    <row r="28" customFormat="false" ht="15" hidden="false" customHeight="false" outlineLevel="0" collapsed="false">
      <c r="A28" s="0" t="n">
        <v>40</v>
      </c>
      <c r="B28" s="0" t="n">
        <v>0.3</v>
      </c>
      <c r="C28" s="0" t="n">
        <v>100</v>
      </c>
      <c r="D28" s="3" t="n">
        <v>-0.00147</v>
      </c>
      <c r="E28" s="3" t="n">
        <v>0.0037</v>
      </c>
      <c r="F28" s="3" t="n">
        <v>-0.00067</v>
      </c>
      <c r="G28" s="3" t="n">
        <v>0.00361</v>
      </c>
      <c r="H28" s="3" t="n">
        <f aca="false">D28-F28</f>
        <v>-0.0008</v>
      </c>
      <c r="I28" s="3" t="n">
        <f aca="false">2*SQRT(E28^2+G28^2)</f>
        <v>0.0103386846358712</v>
      </c>
      <c r="J28" s="4" t="b">
        <f aca="false">OR(D28&gt;2*E28,F28&gt;2*G28)</f>
        <v>0</v>
      </c>
      <c r="K28" s="0" t="str">
        <f aca="false">IF(J28,IF(ABS(H28)&lt;=I28,"AGREE","DIFFER"),"NOT JUDGED")</f>
        <v>NOT JUDGED</v>
      </c>
    </row>
    <row r="29" customFormat="false" ht="15" hidden="false" customHeight="false" outlineLevel="0" collapsed="false">
      <c r="A29" s="0" t="n">
        <v>72</v>
      </c>
      <c r="B29" s="0" t="n">
        <v>0</v>
      </c>
      <c r="C29" s="0" t="n">
        <v>24</v>
      </c>
      <c r="D29" s="3" t="n">
        <v>0.21703</v>
      </c>
      <c r="E29" s="3" t="n">
        <v>0.00425</v>
      </c>
      <c r="F29" s="3" t="n">
        <v>0.20073</v>
      </c>
      <c r="G29" s="3" t="n">
        <v>0.00424</v>
      </c>
      <c r="H29" s="3" t="n">
        <f aca="false">D29-F29</f>
        <v>0.0163</v>
      </c>
      <c r="I29" s="3" t="n">
        <f aca="false">2*SQRT(E29^2+G29^2)</f>
        <v>0.0120066814732465</v>
      </c>
      <c r="J29" s="4" t="b">
        <f aca="false">OR(D29&gt;2*E29,F29&gt;2*G29)</f>
        <v>1</v>
      </c>
      <c r="K29" s="0" t="str">
        <f aca="false">IF(J29,IF(ABS(H29)&lt;=I29,"AGREE","DIFFER"),"NOT JUDGED")</f>
        <v>DIFFER</v>
      </c>
    </row>
    <row r="30" customFormat="false" ht="15" hidden="false" customHeight="false" outlineLevel="0" collapsed="false">
      <c r="A30" s="0" t="n">
        <v>72</v>
      </c>
      <c r="B30" s="0" t="n">
        <v>0</v>
      </c>
      <c r="C30" s="0" t="n">
        <v>50</v>
      </c>
      <c r="D30" s="3" t="n">
        <v>-0.00191</v>
      </c>
      <c r="E30" s="3" t="n">
        <v>0.00309</v>
      </c>
      <c r="F30" s="3" t="n">
        <v>0.00064</v>
      </c>
      <c r="G30" s="3" t="n">
        <v>0.00314</v>
      </c>
      <c r="H30" s="3" t="n">
        <f aca="false">D30-F30</f>
        <v>-0.00255</v>
      </c>
      <c r="I30" s="3" t="n">
        <f aca="false">2*SQRT(E30^2+G30^2)</f>
        <v>0.00881083423973008</v>
      </c>
      <c r="J30" s="4" t="b">
        <f aca="false">OR(D30&gt;2*E30,F30&gt;2*G30)</f>
        <v>0</v>
      </c>
      <c r="K30" s="0" t="str">
        <f aca="false">IF(J30,IF(ABS(H30)&lt;=I30,"AGREE","DIFFER"),"NOT JUDGED")</f>
        <v>NOT JUDGED</v>
      </c>
    </row>
    <row r="31" customFormat="false" ht="15" hidden="false" customHeight="false" outlineLevel="0" collapsed="false">
      <c r="A31" s="0" t="n">
        <v>72</v>
      </c>
      <c r="B31" s="0" t="n">
        <v>0</v>
      </c>
      <c r="C31" s="0" t="n">
        <v>100</v>
      </c>
      <c r="D31" s="3" t="n">
        <v>0.002</v>
      </c>
      <c r="E31" s="3" t="n">
        <v>0.00286</v>
      </c>
      <c r="F31" s="3" t="n">
        <v>0.00017</v>
      </c>
      <c r="G31" s="3" t="n">
        <v>0.0028</v>
      </c>
      <c r="H31" s="3" t="n">
        <f aca="false">D31-F31</f>
        <v>0.00183</v>
      </c>
      <c r="I31" s="3" t="n">
        <f aca="false">2*SQRT(E31^2+G31^2)</f>
        <v>0.00800489850029343</v>
      </c>
      <c r="J31" s="4" t="b">
        <f aca="false">OR(D31&gt;2*E31,F31&gt;2*G31)</f>
        <v>0</v>
      </c>
      <c r="K31" s="0" t="str">
        <f aca="false">IF(J31,IF(ABS(H31)&lt;=I31,"AGREE","DIFFER"),"NOT JUDGED")</f>
        <v>NOT JUDGED</v>
      </c>
    </row>
    <row r="32" customFormat="false" ht="15" hidden="false" customHeight="false" outlineLevel="0" collapsed="false">
      <c r="A32" s="0" t="n">
        <v>72</v>
      </c>
      <c r="B32" s="0" t="n">
        <v>0.1</v>
      </c>
      <c r="C32" s="0" t="n">
        <v>24</v>
      </c>
      <c r="D32" s="3" t="n">
        <v>0.2299</v>
      </c>
      <c r="E32" s="3" t="n">
        <v>0.004</v>
      </c>
      <c r="F32" s="3" t="n">
        <v>0.21119</v>
      </c>
      <c r="G32" s="3" t="n">
        <v>0.00411</v>
      </c>
      <c r="H32" s="3" t="n">
        <f aca="false">D32-F32</f>
        <v>0.01871</v>
      </c>
      <c r="I32" s="3" t="n">
        <f aca="false">2*SQRT(E32^2+G32^2)</f>
        <v>0.0114703269351837</v>
      </c>
      <c r="J32" s="4" t="b">
        <f aca="false">OR(D32&gt;2*E32,F32&gt;2*G32)</f>
        <v>1</v>
      </c>
      <c r="K32" s="0" t="str">
        <f aca="false">IF(J32,IF(ABS(H32)&lt;=I32,"AGREE","DIFFER"),"NOT JUDGED")</f>
        <v>DIFFER</v>
      </c>
    </row>
    <row r="33" customFormat="false" ht="15" hidden="false" customHeight="false" outlineLevel="0" collapsed="false">
      <c r="A33" s="0" t="n">
        <v>72</v>
      </c>
      <c r="B33" s="0" t="n">
        <v>0.1</v>
      </c>
      <c r="C33" s="0" t="n">
        <v>50</v>
      </c>
      <c r="D33" s="3" t="n">
        <v>0.0073</v>
      </c>
      <c r="E33" s="3" t="n">
        <v>0.00306</v>
      </c>
      <c r="F33" s="3" t="n">
        <v>0.01018</v>
      </c>
      <c r="G33" s="3" t="n">
        <v>0.00297</v>
      </c>
      <c r="H33" s="3" t="n">
        <f aca="false">D33-F33</f>
        <v>-0.00288</v>
      </c>
      <c r="I33" s="3" t="n">
        <f aca="false">2*SQRT(E33^2+G33^2)</f>
        <v>0.00852865757314714</v>
      </c>
      <c r="J33" s="4" t="b">
        <f aca="false">OR(D33&gt;2*E33,F33&gt;2*G33)</f>
        <v>1</v>
      </c>
      <c r="K33" s="0" t="str">
        <f aca="false">IF(J33,IF(ABS(H33)&lt;=I33,"AGREE","DIFFER"),"NOT JUDGED")</f>
        <v>AGREE</v>
      </c>
    </row>
    <row r="34" customFormat="false" ht="15" hidden="false" customHeight="false" outlineLevel="0" collapsed="false">
      <c r="A34" s="0" t="n">
        <v>72</v>
      </c>
      <c r="B34" s="0" t="n">
        <v>0.1</v>
      </c>
      <c r="C34" s="0" t="n">
        <v>100</v>
      </c>
      <c r="D34" s="3" t="n">
        <v>0.00167</v>
      </c>
      <c r="E34" s="3" t="n">
        <v>0.00275</v>
      </c>
      <c r="F34" s="3" t="n">
        <v>0.00435</v>
      </c>
      <c r="G34" s="3" t="n">
        <v>0.00275</v>
      </c>
      <c r="H34" s="3" t="n">
        <f aca="false">D34-F34</f>
        <v>-0.00268</v>
      </c>
      <c r="I34" s="3" t="n">
        <f aca="false">2*SQRT(E34^2+G34^2)</f>
        <v>0.00777817459305202</v>
      </c>
      <c r="J34" s="4" t="b">
        <f aca="false">OR(D34&gt;2*E34,F34&gt;2*G34)</f>
        <v>0</v>
      </c>
      <c r="K34" s="0" t="str">
        <f aca="false">IF(J34,IF(ABS(H34)&lt;=I34,"AGREE","DIFFER"),"NOT JUDGED")</f>
        <v>NOT JUDGED</v>
      </c>
    </row>
    <row r="35" customFormat="false" ht="15" hidden="false" customHeight="false" outlineLevel="0" collapsed="false">
      <c r="A35" s="0" t="n">
        <v>72</v>
      </c>
      <c r="B35" s="0" t="n">
        <v>0.3</v>
      </c>
      <c r="C35" s="0" t="n">
        <v>24</v>
      </c>
      <c r="D35" s="3" t="n">
        <v>0.24941</v>
      </c>
      <c r="E35" s="3" t="n">
        <v>0.00397</v>
      </c>
      <c r="F35" s="3" t="n">
        <v>0.23083</v>
      </c>
      <c r="G35" s="3" t="n">
        <v>0.00388</v>
      </c>
      <c r="H35" s="3" t="n">
        <f aca="false">D35-F35</f>
        <v>0.01858</v>
      </c>
      <c r="I35" s="3" t="n">
        <f aca="false">2*SQRT(E35^2+G35^2)</f>
        <v>0.0111023060667593</v>
      </c>
      <c r="J35" s="4" t="b">
        <f aca="false">OR(D35&gt;2*E35,F35&gt;2*G35)</f>
        <v>1</v>
      </c>
      <c r="K35" s="0" t="str">
        <f aca="false">IF(J35,IF(ABS(H35)&lt;=I35,"AGREE","DIFFER"),"NOT JUDGED")</f>
        <v>DIFFER</v>
      </c>
    </row>
    <row r="36" customFormat="false" ht="15" hidden="false" customHeight="false" outlineLevel="0" collapsed="false">
      <c r="A36" s="0" t="n">
        <v>72</v>
      </c>
      <c r="B36" s="0" t="n">
        <v>0.3</v>
      </c>
      <c r="C36" s="0" t="n">
        <v>50</v>
      </c>
      <c r="D36" s="3" t="n">
        <v>0.00862</v>
      </c>
      <c r="E36" s="3" t="n">
        <v>0.00297</v>
      </c>
      <c r="F36" s="3" t="n">
        <v>0.00432</v>
      </c>
      <c r="G36" s="3" t="n">
        <v>0.0029</v>
      </c>
      <c r="H36" s="3" t="n">
        <f aca="false">D36-F36</f>
        <v>0.0043</v>
      </c>
      <c r="I36" s="3" t="n">
        <f aca="false">2*SQRT(E36^2+G36^2)</f>
        <v>0.00830202384964052</v>
      </c>
      <c r="J36" s="4" t="b">
        <f aca="false">OR(D36&gt;2*E36,F36&gt;2*G36)</f>
        <v>1</v>
      </c>
      <c r="K36" s="0" t="str">
        <f aca="false">IF(J36,IF(ABS(H36)&lt;=I36,"AGREE","DIFFER"),"NOT JUDGED")</f>
        <v>AGREE</v>
      </c>
    </row>
    <row r="37" customFormat="false" ht="15" hidden="false" customHeight="false" outlineLevel="0" collapsed="false">
      <c r="A37" s="0" t="n">
        <v>72</v>
      </c>
      <c r="B37" s="0" t="n">
        <v>0.3</v>
      </c>
      <c r="C37" s="0" t="n">
        <v>100</v>
      </c>
      <c r="D37" s="3" t="n">
        <v>0.00241</v>
      </c>
      <c r="E37" s="3" t="n">
        <v>0.00263</v>
      </c>
      <c r="F37" s="3" t="n">
        <v>-0.00295</v>
      </c>
      <c r="G37" s="3" t="n">
        <v>0.00272</v>
      </c>
      <c r="H37" s="3" t="n">
        <f aca="false">D37-F37</f>
        <v>0.00536</v>
      </c>
      <c r="I37" s="3" t="n">
        <f aca="false">2*SQRT(E37^2+G37^2)</f>
        <v>0.00756711305584897</v>
      </c>
      <c r="J37" s="4" t="b">
        <f aca="false">OR(D37&gt;2*E37,F37&gt;2*G37)</f>
        <v>0</v>
      </c>
      <c r="K37" s="0" t="str">
        <f aca="false">IF(J37,IF(ABS(H37)&lt;=I37,"AGREE","DIFFER"),"NOT JUDGED")</f>
        <v>NOT JUDGED</v>
      </c>
    </row>
    <row r="38" customFormat="false" ht="15" hidden="false" customHeight="false" outlineLevel="0" collapsed="false">
      <c r="A38" s="5"/>
    </row>
    <row r="39" customFormat="false" ht="15" hidden="false" customHeight="false" outlineLevel="0" collapsed="false">
      <c r="A39" s="5" t="s">
        <v>28</v>
      </c>
      <c r="D39" s="6" t="n">
        <f aca="false">COUNTIF(K2:K37,"AGREE")</f>
        <v>12</v>
      </c>
    </row>
    <row r="40" customFormat="false" ht="15" hidden="false" customHeight="false" outlineLevel="0" collapsed="false">
      <c r="A40" s="5" t="s">
        <v>26</v>
      </c>
      <c r="D40" s="6" t="n">
        <f aca="false">COUNTIF(J2:J37,TRUE())</f>
        <v>21</v>
      </c>
    </row>
    <row r="41" customFormat="false" ht="15" hidden="false" customHeight="false" outlineLevel="0" collapsed="false">
      <c r="A41" s="0" t="s">
        <v>11</v>
      </c>
      <c r="D41" s="0" t="str">
        <f aca="false">IF(D38&gt;=0.8*D39,"REPRODUCED","NOT REPRODUCED")</f>
        <v>NOT REPRODUCED</v>
      </c>
    </row>
  </sheetData>
  <conditionalFormatting sqref="K2:K37">
    <cfRule type="expression" priority="2" aboveAverage="0" equalAverage="0" bottom="0" percent="0" rank="0" text="" dxfId="0">
      <formula>K2="DIFFER"</formula>
    </cfRule>
    <cfRule type="expression" priority="3" aboveAverage="0" equalAverage="0" bottom="0" percent="0" rank="0" text="" dxfId="1">
      <formula>K2="AGREE"</formula>
    </cfRule>
    <cfRule type="expression" priority="4" aboveAverage="0" equalAverage="0" bottom="0" percent="0" rank="0" text="" dxfId="2">
      <formula>K2="NOT JUDGED"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3"/>
  </cols>
  <sheetData>
    <row r="1" customFormat="false" ht="28.35" hidden="false" customHeight="false" outlineLevel="0" collapsed="false">
      <c r="A1" s="2" t="s">
        <v>17</v>
      </c>
      <c r="B1" s="2" t="s">
        <v>18</v>
      </c>
      <c r="C1" s="2" t="s">
        <v>29</v>
      </c>
      <c r="D1" s="2" t="s">
        <v>21</v>
      </c>
      <c r="E1" s="2" t="s">
        <v>30</v>
      </c>
      <c r="F1" s="2" t="s">
        <v>23</v>
      </c>
      <c r="G1" s="2" t="s">
        <v>24</v>
      </c>
      <c r="H1" s="2" t="s">
        <v>25</v>
      </c>
      <c r="I1" s="2" t="s">
        <v>27</v>
      </c>
    </row>
    <row r="2" customFormat="false" ht="15" hidden="false" customHeight="false" outlineLevel="0" collapsed="false">
      <c r="A2" s="0" t="n">
        <v>20</v>
      </c>
      <c r="B2" s="0" t="n">
        <v>0</v>
      </c>
      <c r="C2" s="7" t="n">
        <v>21.875</v>
      </c>
      <c r="D2" s="7" t="n">
        <v>0.485</v>
      </c>
      <c r="E2" s="7" t="n">
        <v>22.82</v>
      </c>
      <c r="F2" s="7" t="n">
        <v>0.501</v>
      </c>
      <c r="G2" s="7" t="n">
        <f aca="false">C2-E2</f>
        <v>-0.945</v>
      </c>
      <c r="H2" s="7" t="n">
        <f aca="false">2*SQRT(D2^2+F2^2)</f>
        <v>1.39459815000594</v>
      </c>
      <c r="I2" s="0" t="str">
        <f aca="false">IF(ABS(G2)&lt;=H2,"AGREE","DIFFER")</f>
        <v>AGREE</v>
      </c>
    </row>
    <row r="3" customFormat="false" ht="15" hidden="false" customHeight="false" outlineLevel="0" collapsed="false">
      <c r="A3" s="0" t="n">
        <v>20</v>
      </c>
      <c r="B3" s="0" t="n">
        <v>0.1</v>
      </c>
      <c r="C3" s="7" t="n">
        <v>21.914</v>
      </c>
      <c r="D3" s="7" t="n">
        <v>0.461</v>
      </c>
      <c r="E3" s="7" t="n">
        <v>23.655</v>
      </c>
      <c r="F3" s="7" t="n">
        <v>0.486</v>
      </c>
      <c r="G3" s="7" t="n">
        <f aca="false">C3-E3</f>
        <v>-1.741</v>
      </c>
      <c r="H3" s="7" t="n">
        <f aca="false">2*SQRT(D3^2+F3^2)</f>
        <v>1.33972683782926</v>
      </c>
      <c r="I3" s="0" t="str">
        <f aca="false">IF(ABS(G3)&lt;=H3,"AGREE","DIFFER")</f>
        <v>DIFFER</v>
      </c>
    </row>
    <row r="4" customFormat="false" ht="15" hidden="false" customHeight="false" outlineLevel="0" collapsed="false">
      <c r="A4" s="0" t="n">
        <v>20</v>
      </c>
      <c r="B4" s="0" t="n">
        <v>0.3</v>
      </c>
      <c r="C4" s="7" t="n">
        <v>22.277</v>
      </c>
      <c r="D4" s="7" t="n">
        <v>0.438</v>
      </c>
      <c r="E4" s="7" t="n">
        <v>23.131</v>
      </c>
      <c r="F4" s="7" t="n">
        <v>0.454</v>
      </c>
      <c r="G4" s="7" t="n">
        <f aca="false">C4-E4</f>
        <v>-0.853999999999999</v>
      </c>
      <c r="H4" s="7" t="n">
        <f aca="false">2*SQRT(D4^2+F4^2)</f>
        <v>1.26168141779135</v>
      </c>
      <c r="I4" s="0" t="str">
        <f aca="false">IF(ABS(G4)&lt;=H4,"AGREE","DIFFER")</f>
        <v>AGREE</v>
      </c>
    </row>
    <row r="5" customFormat="false" ht="15" hidden="false" customHeight="false" outlineLevel="0" collapsed="false">
      <c r="A5" s="0" t="n">
        <v>36</v>
      </c>
      <c r="B5" s="0" t="n">
        <v>0</v>
      </c>
      <c r="C5" s="7" t="n">
        <v>24.53</v>
      </c>
      <c r="D5" s="7" t="n">
        <v>0.407</v>
      </c>
      <c r="E5" s="7" t="n">
        <v>23.257</v>
      </c>
      <c r="F5" s="7" t="n">
        <v>0.377</v>
      </c>
      <c r="G5" s="7" t="n">
        <f aca="false">C5-E5</f>
        <v>1.273</v>
      </c>
      <c r="H5" s="7" t="n">
        <f aca="false">2*SQRT(D5^2+F5^2)</f>
        <v>1.10955486570066</v>
      </c>
      <c r="I5" s="0" t="str">
        <f aca="false">IF(ABS(G5)&lt;=H5,"AGREE","DIFFER")</f>
        <v>DIFFER</v>
      </c>
    </row>
    <row r="6" customFormat="false" ht="15" hidden="false" customHeight="false" outlineLevel="0" collapsed="false">
      <c r="A6" s="0" t="n">
        <v>36</v>
      </c>
      <c r="B6" s="0" t="n">
        <v>0.1</v>
      </c>
      <c r="C6" s="7" t="n">
        <v>26.09</v>
      </c>
      <c r="D6" s="7" t="n">
        <v>0.39</v>
      </c>
      <c r="E6" s="7" t="n">
        <v>23.576</v>
      </c>
      <c r="F6" s="7" t="n">
        <v>0.357</v>
      </c>
      <c r="G6" s="7" t="n">
        <f aca="false">C6-E6</f>
        <v>2.514</v>
      </c>
      <c r="H6" s="7" t="n">
        <f aca="false">2*SQRT(D6^2+F6^2)</f>
        <v>1.05744787105559</v>
      </c>
      <c r="I6" s="0" t="str">
        <f aca="false">IF(ABS(G6)&lt;=H6,"AGREE","DIFFER")</f>
        <v>DIFFER</v>
      </c>
    </row>
    <row r="7" customFormat="false" ht="15" hidden="false" customHeight="false" outlineLevel="0" collapsed="false">
      <c r="A7" s="0" t="n">
        <v>36</v>
      </c>
      <c r="B7" s="0" t="n">
        <v>0.3</v>
      </c>
      <c r="C7" s="7" t="n">
        <v>26.178</v>
      </c>
      <c r="D7" s="7" t="n">
        <v>0.364</v>
      </c>
      <c r="E7" s="7" t="n">
        <v>22.96</v>
      </c>
      <c r="F7" s="7" t="n">
        <v>0.324</v>
      </c>
      <c r="G7" s="7" t="n">
        <f aca="false">C7-E7</f>
        <v>3.218</v>
      </c>
      <c r="H7" s="7" t="n">
        <f aca="false">2*SQRT(D7^2+F7^2)</f>
        <v>0.974621977999676</v>
      </c>
      <c r="I7" s="0" t="str">
        <f aca="false">IF(ABS(G7)&lt;=H7,"AGREE","DIFFER")</f>
        <v>DIFFER</v>
      </c>
    </row>
    <row r="8" customFormat="false" ht="15" hidden="false" customHeight="false" outlineLevel="0" collapsed="false">
      <c r="A8" s="0" t="n">
        <v>40</v>
      </c>
      <c r="B8" s="0" t="n">
        <v>0</v>
      </c>
      <c r="C8" s="7" t="n">
        <v>13.029</v>
      </c>
      <c r="D8" s="7" t="n">
        <v>0.237</v>
      </c>
      <c r="E8" s="7" t="n">
        <v>12.819</v>
      </c>
      <c r="F8" s="7" t="n">
        <v>0.235</v>
      </c>
      <c r="G8" s="7" t="n">
        <f aca="false">C8-E8</f>
        <v>0.209999999999999</v>
      </c>
      <c r="H8" s="7" t="n">
        <f aca="false">2*SQRT(D8^2+F8^2)</f>
        <v>0.667514793843552</v>
      </c>
      <c r="I8" s="0" t="str">
        <f aca="false">IF(ABS(G8)&lt;=H8,"AGREE","DIFFER")</f>
        <v>AGREE</v>
      </c>
    </row>
    <row r="9" customFormat="false" ht="15" hidden="false" customHeight="false" outlineLevel="0" collapsed="false">
      <c r="A9" s="0" t="n">
        <v>40</v>
      </c>
      <c r="B9" s="0" t="n">
        <v>0.1</v>
      </c>
      <c r="C9" s="7" t="n">
        <v>14.662</v>
      </c>
      <c r="D9" s="7" t="n">
        <v>0.227</v>
      </c>
      <c r="E9" s="7" t="n">
        <v>14.355</v>
      </c>
      <c r="F9" s="7" t="n">
        <v>0.227</v>
      </c>
      <c r="G9" s="7" t="n">
        <f aca="false">C9-E9</f>
        <v>0.307</v>
      </c>
      <c r="H9" s="7" t="n">
        <f aca="false">2*SQRT(D9^2+F9^2)</f>
        <v>0.642052957317385</v>
      </c>
      <c r="I9" s="0" t="str">
        <f aca="false">IF(ABS(G9)&lt;=H9,"AGREE","DIFFER")</f>
        <v>AGREE</v>
      </c>
    </row>
    <row r="10" customFormat="false" ht="15" hidden="false" customHeight="false" outlineLevel="0" collapsed="false">
      <c r="A10" s="0" t="n">
        <v>40</v>
      </c>
      <c r="B10" s="0" t="n">
        <v>0.3</v>
      </c>
      <c r="C10" s="7" t="n">
        <v>16.037</v>
      </c>
      <c r="D10" s="7" t="n">
        <v>0.223</v>
      </c>
      <c r="E10" s="7" t="n">
        <v>16.131</v>
      </c>
      <c r="F10" s="7" t="n">
        <v>0.223</v>
      </c>
      <c r="G10" s="7" t="n">
        <f aca="false">C10-E10</f>
        <v>-0.0940000000000012</v>
      </c>
      <c r="H10" s="7" t="n">
        <f aca="false">2*SQRT(D10^2+F10^2)</f>
        <v>0.6307392488184</v>
      </c>
      <c r="I10" s="0" t="str">
        <f aca="false">IF(ABS(G10)&lt;=H10,"AGREE","DIFFER")</f>
        <v>AGREE</v>
      </c>
    </row>
    <row r="11" customFormat="false" ht="15" hidden="false" customHeight="false" outlineLevel="0" collapsed="false">
      <c r="A11" s="0" t="n">
        <v>72</v>
      </c>
      <c r="B11" s="0" t="n">
        <v>0</v>
      </c>
      <c r="C11" s="7" t="n">
        <v>14.631</v>
      </c>
      <c r="D11" s="7" t="n">
        <v>0.176</v>
      </c>
      <c r="E11" s="7" t="n">
        <v>14.154</v>
      </c>
      <c r="F11" s="7" t="n">
        <v>0.176</v>
      </c>
      <c r="G11" s="7" t="n">
        <f aca="false">C11-E11</f>
        <v>0.477</v>
      </c>
      <c r="H11" s="7" t="n">
        <f aca="false">2*SQRT(D11^2+F11^2)</f>
        <v>0.497803173955329</v>
      </c>
      <c r="I11" s="0" t="str">
        <f aca="false">IF(ABS(G11)&lt;=H11,"AGREE","DIFFER")</f>
        <v>AGREE</v>
      </c>
    </row>
    <row r="12" customFormat="false" ht="15" hidden="false" customHeight="false" outlineLevel="0" collapsed="false">
      <c r="A12" s="0" t="n">
        <v>72</v>
      </c>
      <c r="B12" s="0" t="n">
        <v>0.1</v>
      </c>
      <c r="C12" s="7" t="n">
        <v>15.351</v>
      </c>
      <c r="D12" s="7" t="n">
        <v>0.168</v>
      </c>
      <c r="E12" s="7" t="n">
        <v>14.707</v>
      </c>
      <c r="F12" s="7" t="n">
        <v>0.17</v>
      </c>
      <c r="G12" s="7" t="n">
        <f aca="false">C12-E12</f>
        <v>0.644</v>
      </c>
      <c r="H12" s="7" t="n">
        <f aca="false">2*SQRT(D12^2+F12^2)</f>
        <v>0.478012552136448</v>
      </c>
      <c r="I12" s="0" t="str">
        <f aca="false">IF(ABS(G12)&lt;=H12,"AGREE","DIFFER")</f>
        <v>DIFFER</v>
      </c>
    </row>
    <row r="13" customFormat="false" ht="15" hidden="false" customHeight="false" outlineLevel="0" collapsed="false">
      <c r="A13" s="0" t="n">
        <v>72</v>
      </c>
      <c r="B13" s="0" t="n">
        <v>0.3</v>
      </c>
      <c r="C13" s="7" t="n">
        <v>16.011</v>
      </c>
      <c r="D13" s="7" t="n">
        <v>0.166</v>
      </c>
      <c r="E13" s="7" t="n">
        <v>15.272</v>
      </c>
      <c r="F13" s="7" t="n">
        <v>0.162</v>
      </c>
      <c r="G13" s="7" t="n">
        <f aca="false">C13-E13</f>
        <v>0.738999999999999</v>
      </c>
      <c r="H13" s="7" t="n">
        <f aca="false">2*SQRT(D13^2+F13^2)</f>
        <v>0.463896540189728</v>
      </c>
      <c r="I13" s="0" t="str">
        <f aca="false">IF(ABS(G13)&lt;=H13,"AGREE","DIFFER")</f>
        <v>DIFFER</v>
      </c>
    </row>
    <row r="15" customFormat="false" ht="15" hidden="false" customHeight="false" outlineLevel="0" collapsed="false">
      <c r="A15" s="5" t="s">
        <v>28</v>
      </c>
      <c r="C15" s="6" t="n">
        <f aca="false">COUNTIF(I2:I13,"AGREE")</f>
        <v>6</v>
      </c>
    </row>
  </sheetData>
  <conditionalFormatting sqref="I2:I13">
    <cfRule type="expression" priority="2" aboveAverage="0" equalAverage="0" bottom="0" percent="0" rank="0" text="" dxfId="0">
      <formula>I2="DIFFER"</formula>
    </cfRule>
    <cfRule type="expression" priority="3" aboveAverage="0" equalAverage="0" bottom="0" percent="0" rank="0" text="" dxfId="1">
      <formula>I2="AGREE"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3"/>
  </cols>
  <sheetData>
    <row r="1" customFormat="false" ht="28.35" hidden="false" customHeight="false" outlineLevel="0" collapsed="false">
      <c r="A1" s="2" t="s">
        <v>17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24</v>
      </c>
    </row>
    <row r="2" customFormat="false" ht="15" hidden="false" customHeight="false" outlineLevel="0" collapsed="false">
      <c r="A2" s="0" t="n">
        <v>20</v>
      </c>
      <c r="B2" s="0" t="n">
        <v>0</v>
      </c>
      <c r="C2" s="0" t="n">
        <v>3</v>
      </c>
      <c r="D2" s="3" t="n">
        <v>0.3305</v>
      </c>
      <c r="E2" s="3" t="n">
        <v>0.3205</v>
      </c>
      <c r="F2" s="3" t="n">
        <f aca="false">E2-D2</f>
        <v>-0.01</v>
      </c>
    </row>
    <row r="3" customFormat="false" ht="15" hidden="false" customHeight="false" outlineLevel="0" collapsed="false">
      <c r="A3" s="0" t="n">
        <v>20</v>
      </c>
      <c r="B3" s="0" t="n">
        <v>1</v>
      </c>
      <c r="C3" s="0" t="n">
        <v>4</v>
      </c>
      <c r="D3" s="3" t="n">
        <v>0.3485</v>
      </c>
      <c r="E3" s="3" t="n">
        <v>0.34</v>
      </c>
      <c r="F3" s="3" t="n">
        <f aca="false">E3-D3</f>
        <v>-0.00849999999999995</v>
      </c>
    </row>
    <row r="4" customFormat="false" ht="15" hidden="false" customHeight="false" outlineLevel="0" collapsed="false">
      <c r="A4" s="0" t="n">
        <v>20</v>
      </c>
      <c r="B4" s="0" t="n">
        <v>2</v>
      </c>
      <c r="C4" s="0" t="n">
        <v>5</v>
      </c>
      <c r="D4" s="3" t="n">
        <v>0.329</v>
      </c>
      <c r="E4" s="3" t="n">
        <v>0.3405</v>
      </c>
      <c r="F4" s="3" t="n">
        <f aca="false">E4-D4</f>
        <v>0.0115</v>
      </c>
    </row>
    <row r="5" customFormat="false" ht="15" hidden="false" customHeight="false" outlineLevel="0" collapsed="false">
      <c r="A5" s="0" t="n">
        <v>20</v>
      </c>
      <c r="B5" s="0" t="n">
        <v>3</v>
      </c>
      <c r="C5" s="0" t="n">
        <v>6</v>
      </c>
      <c r="D5" s="3" t="n">
        <v>0.3325</v>
      </c>
      <c r="E5" s="3" t="n">
        <v>0.347</v>
      </c>
      <c r="F5" s="3" t="n">
        <f aca="false">E5-D5</f>
        <v>0.0145</v>
      </c>
    </row>
    <row r="6" customFormat="false" ht="15" hidden="false" customHeight="false" outlineLevel="0" collapsed="false">
      <c r="A6" s="0" t="n">
        <v>20</v>
      </c>
      <c r="B6" s="0" t="n">
        <v>4</v>
      </c>
      <c r="C6" s="0" t="n">
        <v>7</v>
      </c>
      <c r="D6" s="3" t="n">
        <v>0.342</v>
      </c>
      <c r="E6" s="3" t="n">
        <v>0.359</v>
      </c>
      <c r="F6" s="3" t="n">
        <f aca="false">E6-D6</f>
        <v>0.017</v>
      </c>
    </row>
    <row r="7" customFormat="false" ht="15" hidden="false" customHeight="false" outlineLevel="0" collapsed="false">
      <c r="A7" s="0" t="n">
        <v>20</v>
      </c>
      <c r="B7" s="0" t="n">
        <v>5</v>
      </c>
      <c r="C7" s="0" t="n">
        <v>17</v>
      </c>
      <c r="D7" s="3" t="n">
        <v>0.329</v>
      </c>
      <c r="E7" s="3" t="n">
        <v>0.3605</v>
      </c>
      <c r="F7" s="3" t="n">
        <f aca="false">E7-D7</f>
        <v>0.0315</v>
      </c>
    </row>
    <row r="8" customFormat="false" ht="15" hidden="false" customHeight="false" outlineLevel="0" collapsed="false">
      <c r="A8" s="0" t="n">
        <v>20</v>
      </c>
      <c r="B8" s="0" t="n">
        <v>6</v>
      </c>
      <c r="C8" s="0" t="n">
        <v>27</v>
      </c>
      <c r="D8" s="3" t="n">
        <v>0.3035</v>
      </c>
      <c r="E8" s="3" t="n">
        <v>0.35</v>
      </c>
      <c r="F8" s="3" t="n">
        <f aca="false">E8-D8</f>
        <v>0.0465</v>
      </c>
    </row>
    <row r="9" customFormat="false" ht="15" hidden="false" customHeight="false" outlineLevel="0" collapsed="false">
      <c r="A9" s="0" t="n">
        <v>20</v>
      </c>
      <c r="B9" s="0" t="n">
        <v>7</v>
      </c>
      <c r="C9" s="0" t="n">
        <v>26</v>
      </c>
      <c r="D9" s="3" t="n">
        <v>0.315</v>
      </c>
      <c r="E9" s="3" t="n">
        <v>0.331</v>
      </c>
      <c r="F9" s="3" t="n">
        <f aca="false">E9-D9</f>
        <v>0.016</v>
      </c>
    </row>
    <row r="10" customFormat="false" ht="15" hidden="false" customHeight="false" outlineLevel="0" collapsed="false">
      <c r="A10" s="0" t="n">
        <v>20</v>
      </c>
      <c r="B10" s="0" t="n">
        <v>8</v>
      </c>
      <c r="C10" s="0" t="n">
        <v>25</v>
      </c>
      <c r="D10" s="3" t="n">
        <v>0.306</v>
      </c>
      <c r="E10" s="3" t="n">
        <v>0.3385</v>
      </c>
      <c r="F10" s="3" t="n">
        <f aca="false">E10-D10</f>
        <v>0.0325</v>
      </c>
    </row>
    <row r="11" customFormat="false" ht="15" hidden="false" customHeight="false" outlineLevel="0" collapsed="false">
      <c r="A11" s="0" t="n">
        <v>20</v>
      </c>
      <c r="B11" s="0" t="n">
        <v>9</v>
      </c>
      <c r="C11" s="0" t="n">
        <v>37</v>
      </c>
      <c r="D11" s="3" t="n">
        <v>0.315</v>
      </c>
      <c r="E11" s="3" t="n">
        <v>0.34</v>
      </c>
      <c r="F11" s="3" t="n">
        <f aca="false">E11-D11</f>
        <v>0.025</v>
      </c>
    </row>
    <row r="12" customFormat="false" ht="15" hidden="false" customHeight="false" outlineLevel="0" collapsed="false">
      <c r="A12" s="0" t="n">
        <v>20</v>
      </c>
      <c r="B12" s="0" t="n">
        <v>10</v>
      </c>
      <c r="C12" s="0" t="n">
        <v>45</v>
      </c>
      <c r="D12" s="3" t="n">
        <v>0.3105</v>
      </c>
      <c r="E12" s="3" t="n">
        <v>0.3195</v>
      </c>
      <c r="F12" s="3" t="n">
        <f aca="false">E12-D12</f>
        <v>0.00900000000000001</v>
      </c>
    </row>
    <row r="13" customFormat="false" ht="15" hidden="false" customHeight="false" outlineLevel="0" collapsed="false">
      <c r="A13" s="0" t="n">
        <v>20</v>
      </c>
      <c r="B13" s="0" t="n">
        <v>11</v>
      </c>
      <c r="C13" s="0" t="n">
        <v>44</v>
      </c>
      <c r="D13" s="3" t="n">
        <v>0.302</v>
      </c>
      <c r="E13" s="3" t="n">
        <v>0.33</v>
      </c>
      <c r="F13" s="3" t="n">
        <f aca="false">E13-D13</f>
        <v>0.028</v>
      </c>
    </row>
    <row r="14" customFormat="false" ht="15" hidden="false" customHeight="false" outlineLevel="0" collapsed="false">
      <c r="A14" s="0" t="n">
        <v>20</v>
      </c>
      <c r="B14" s="0" t="n">
        <v>12</v>
      </c>
      <c r="C14" s="0" t="n">
        <v>43</v>
      </c>
      <c r="D14" s="3" t="n">
        <v>0.312</v>
      </c>
      <c r="E14" s="3" t="n">
        <v>0.3295</v>
      </c>
      <c r="F14" s="3" t="n">
        <f aca="false">E14-D14</f>
        <v>0.0175</v>
      </c>
    </row>
    <row r="15" customFormat="false" ht="15" hidden="false" customHeight="false" outlineLevel="0" collapsed="false">
      <c r="A15" s="0" t="n">
        <v>20</v>
      </c>
      <c r="B15" s="0" t="n">
        <v>13</v>
      </c>
      <c r="C15" s="0" t="n">
        <v>42</v>
      </c>
      <c r="D15" s="3" t="n">
        <v>0.307</v>
      </c>
      <c r="E15" s="3" t="n">
        <v>0.318</v>
      </c>
      <c r="F15" s="3" t="n">
        <f aca="false">E15-D15</f>
        <v>0.011</v>
      </c>
    </row>
    <row r="16" customFormat="false" ht="15" hidden="false" customHeight="false" outlineLevel="0" collapsed="false">
      <c r="A16" s="0" t="n">
        <v>20</v>
      </c>
      <c r="B16" s="0" t="n">
        <v>14</v>
      </c>
      <c r="C16" s="0" t="n">
        <v>41</v>
      </c>
      <c r="D16" s="3" t="n">
        <v>0.3055</v>
      </c>
      <c r="E16" s="3" t="n">
        <v>0.312</v>
      </c>
      <c r="F16" s="3" t="n">
        <f aca="false">E16-D16</f>
        <v>0.00650000000000001</v>
      </c>
    </row>
    <row r="17" customFormat="false" ht="15" hidden="false" customHeight="false" outlineLevel="0" collapsed="false">
      <c r="A17" s="0" t="n">
        <v>20</v>
      </c>
      <c r="B17" s="0" t="n">
        <v>15</v>
      </c>
      <c r="C17" s="0" t="n">
        <v>36</v>
      </c>
      <c r="D17" s="3" t="n">
        <v>0.324</v>
      </c>
      <c r="E17" s="3" t="n">
        <v>0.313</v>
      </c>
      <c r="F17" s="3" t="n">
        <f aca="false">E17-D17</f>
        <v>-0.011</v>
      </c>
    </row>
    <row r="18" customFormat="false" ht="15" hidden="false" customHeight="false" outlineLevel="0" collapsed="false">
      <c r="A18" s="0" t="n">
        <v>20</v>
      </c>
      <c r="B18" s="0" t="n">
        <v>16</v>
      </c>
      <c r="C18" s="0" t="n">
        <v>21</v>
      </c>
      <c r="D18" s="3" t="n">
        <v>0.3195</v>
      </c>
      <c r="E18" s="3" t="n">
        <v>0.33</v>
      </c>
      <c r="F18" s="3" t="n">
        <f aca="false">E18-D18</f>
        <v>0.0105</v>
      </c>
    </row>
    <row r="19" customFormat="false" ht="15" hidden="false" customHeight="false" outlineLevel="0" collapsed="false">
      <c r="A19" s="0" t="n">
        <v>20</v>
      </c>
      <c r="B19" s="0" t="n">
        <v>17</v>
      </c>
      <c r="C19" s="0" t="n">
        <v>22</v>
      </c>
      <c r="D19" s="3" t="n">
        <v>0.324</v>
      </c>
      <c r="E19" s="3" t="n">
        <v>0.331</v>
      </c>
      <c r="F19" s="3" t="n">
        <f aca="false">E19-D19</f>
        <v>0.00700000000000001</v>
      </c>
    </row>
    <row r="20" customFormat="false" ht="15" hidden="false" customHeight="false" outlineLevel="0" collapsed="false">
      <c r="A20" s="0" t="n">
        <v>20</v>
      </c>
      <c r="B20" s="0" t="n">
        <v>18</v>
      </c>
      <c r="C20" s="0" t="n">
        <v>23</v>
      </c>
      <c r="D20" s="3" t="n">
        <v>0.3205</v>
      </c>
      <c r="E20" s="3" t="n">
        <v>0.326</v>
      </c>
      <c r="F20" s="3" t="n">
        <f aca="false">E20-D20</f>
        <v>0.00550000000000001</v>
      </c>
    </row>
    <row r="21" customFormat="false" ht="15" hidden="false" customHeight="false" outlineLevel="0" collapsed="false">
      <c r="A21" s="0" t="n">
        <v>20</v>
      </c>
      <c r="B21" s="0" t="n">
        <v>19</v>
      </c>
      <c r="C21" s="0" t="n">
        <v>16</v>
      </c>
      <c r="D21" s="3" t="n">
        <v>0.333</v>
      </c>
      <c r="E21" s="3" t="n">
        <v>0.322</v>
      </c>
      <c r="F21" s="3" t="n">
        <f aca="false">E21-D21</f>
        <v>-0.011</v>
      </c>
    </row>
    <row r="22" customFormat="false" ht="15" hidden="false" customHeight="false" outlineLevel="0" collapsed="false">
      <c r="A22" s="0" t="n">
        <v>36</v>
      </c>
      <c r="B22" s="0" t="n">
        <v>0</v>
      </c>
      <c r="C22" s="0" t="n">
        <v>11</v>
      </c>
      <c r="D22" s="3" t="n">
        <v>0.2485</v>
      </c>
      <c r="E22" s="3" t="n">
        <v>0.2665</v>
      </c>
      <c r="F22" s="3" t="n">
        <f aca="false">E22-D22</f>
        <v>0.018</v>
      </c>
    </row>
    <row r="23" customFormat="false" ht="15" hidden="false" customHeight="false" outlineLevel="0" collapsed="false">
      <c r="A23" s="0" t="n">
        <v>36</v>
      </c>
      <c r="B23" s="0" t="n">
        <v>1</v>
      </c>
      <c r="C23" s="0" t="n">
        <v>12</v>
      </c>
      <c r="D23" s="3" t="n">
        <v>0.255</v>
      </c>
      <c r="E23" s="3" t="n">
        <v>0.2665</v>
      </c>
      <c r="F23" s="3" t="n">
        <f aca="false">E23-D23</f>
        <v>0.0115</v>
      </c>
    </row>
    <row r="24" customFormat="false" ht="15" hidden="false" customHeight="false" outlineLevel="0" collapsed="false">
      <c r="A24" s="0" t="n">
        <v>36</v>
      </c>
      <c r="B24" s="0" t="n">
        <v>2</v>
      </c>
      <c r="C24" s="0" t="n">
        <v>13</v>
      </c>
      <c r="D24" s="3" t="n">
        <v>0.242</v>
      </c>
      <c r="E24" s="3" t="n">
        <v>0.276</v>
      </c>
      <c r="F24" s="3" t="n">
        <f aca="false">E24-D24</f>
        <v>0.034</v>
      </c>
    </row>
    <row r="25" customFormat="false" ht="15" hidden="false" customHeight="false" outlineLevel="0" collapsed="false">
      <c r="A25" s="0" t="n">
        <v>36</v>
      </c>
      <c r="B25" s="0" t="n">
        <v>3</v>
      </c>
      <c r="C25" s="0" t="n">
        <v>14</v>
      </c>
      <c r="D25" s="3" t="n">
        <v>0.253</v>
      </c>
      <c r="E25" s="3" t="n">
        <v>0.2605</v>
      </c>
      <c r="F25" s="3" t="n">
        <f aca="false">E25-D25</f>
        <v>0.00750000000000001</v>
      </c>
    </row>
    <row r="26" customFormat="false" ht="15" hidden="false" customHeight="false" outlineLevel="0" collapsed="false">
      <c r="A26" s="0" t="n">
        <v>36</v>
      </c>
      <c r="B26" s="0" t="n">
        <v>4</v>
      </c>
      <c r="C26" s="0" t="n">
        <v>15</v>
      </c>
      <c r="D26" s="3" t="n">
        <v>0.235</v>
      </c>
      <c r="E26" s="3" t="n">
        <v>0.276</v>
      </c>
      <c r="F26" s="3" t="n">
        <f aca="false">E26-D26</f>
        <v>0.041</v>
      </c>
    </row>
    <row r="27" customFormat="false" ht="15" hidden="false" customHeight="false" outlineLevel="0" collapsed="false">
      <c r="A27" s="0" t="n">
        <v>36</v>
      </c>
      <c r="B27" s="0" t="n">
        <v>5</v>
      </c>
      <c r="C27" s="0" t="n">
        <v>19</v>
      </c>
      <c r="D27" s="3" t="n">
        <v>0.2625</v>
      </c>
      <c r="E27" s="3" t="n">
        <v>0.26</v>
      </c>
      <c r="F27" s="3" t="n">
        <f aca="false">E27-D27</f>
        <v>-0.0025</v>
      </c>
    </row>
    <row r="28" customFormat="false" ht="15" hidden="false" customHeight="false" outlineLevel="0" collapsed="false">
      <c r="A28" s="0" t="n">
        <v>36</v>
      </c>
      <c r="B28" s="0" t="n">
        <v>6</v>
      </c>
      <c r="C28" s="0" t="n">
        <v>35</v>
      </c>
      <c r="D28" s="3" t="n">
        <v>0.2595</v>
      </c>
      <c r="E28" s="3" t="n">
        <v>0.2585</v>
      </c>
      <c r="F28" s="3" t="n">
        <f aca="false">E28-D28</f>
        <v>-0.001</v>
      </c>
    </row>
    <row r="29" customFormat="false" ht="15" hidden="false" customHeight="false" outlineLevel="0" collapsed="false">
      <c r="A29" s="0" t="n">
        <v>36</v>
      </c>
      <c r="B29" s="0" t="n">
        <v>7</v>
      </c>
      <c r="C29" s="0" t="n">
        <v>34</v>
      </c>
      <c r="D29" s="3" t="n">
        <v>0.2765</v>
      </c>
      <c r="E29" s="3" t="n">
        <v>0.247</v>
      </c>
      <c r="F29" s="3" t="n">
        <f aca="false">E29-D29</f>
        <v>-0.0295</v>
      </c>
    </row>
    <row r="30" customFormat="false" ht="15" hidden="false" customHeight="false" outlineLevel="0" collapsed="false">
      <c r="A30" s="0" t="n">
        <v>36</v>
      </c>
      <c r="B30" s="0" t="n">
        <v>8</v>
      </c>
      <c r="C30" s="0" t="n">
        <v>33</v>
      </c>
      <c r="D30" s="3" t="n">
        <v>0.281</v>
      </c>
      <c r="E30" s="3" t="n">
        <v>0.2625</v>
      </c>
      <c r="F30" s="3" t="n">
        <f aca="false">E30-D30</f>
        <v>-0.0185</v>
      </c>
    </row>
    <row r="31" customFormat="false" ht="15" hidden="false" customHeight="false" outlineLevel="0" collapsed="false">
      <c r="A31" s="0" t="n">
        <v>36</v>
      </c>
      <c r="B31" s="0" t="n">
        <v>9</v>
      </c>
      <c r="C31" s="0" t="n">
        <v>39</v>
      </c>
      <c r="D31" s="3" t="n">
        <v>0.3095</v>
      </c>
      <c r="E31" s="3" t="n">
        <v>0.277</v>
      </c>
      <c r="F31" s="3" t="n">
        <f aca="false">E31-D31</f>
        <v>-0.0325</v>
      </c>
    </row>
    <row r="32" customFormat="false" ht="15" hidden="false" customHeight="false" outlineLevel="0" collapsed="false">
      <c r="A32" s="0" t="n">
        <v>36</v>
      </c>
      <c r="B32" s="0" t="n">
        <v>10</v>
      </c>
      <c r="C32" s="0" t="n">
        <v>53</v>
      </c>
      <c r="D32" s="3" t="n">
        <v>0.305</v>
      </c>
      <c r="E32" s="3" t="n">
        <v>0.2685</v>
      </c>
      <c r="F32" s="3" t="n">
        <f aca="false">E32-D32</f>
        <v>-0.0365</v>
      </c>
    </row>
    <row r="33" customFormat="false" ht="15" hidden="false" customHeight="false" outlineLevel="0" collapsed="false">
      <c r="A33" s="0" t="n">
        <v>36</v>
      </c>
      <c r="B33" s="0" t="n">
        <v>11</v>
      </c>
      <c r="C33" s="0" t="n">
        <v>52</v>
      </c>
      <c r="D33" s="3" t="n">
        <v>0.309</v>
      </c>
      <c r="E33" s="3" t="n">
        <v>0.2805</v>
      </c>
      <c r="F33" s="3" t="n">
        <f aca="false">E33-D33</f>
        <v>-0.0285</v>
      </c>
    </row>
    <row r="34" customFormat="false" ht="15" hidden="false" customHeight="false" outlineLevel="0" collapsed="false">
      <c r="A34" s="0" t="n">
        <v>36</v>
      </c>
      <c r="B34" s="0" t="n">
        <v>12</v>
      </c>
      <c r="C34" s="0" t="n">
        <v>51</v>
      </c>
      <c r="D34" s="3" t="n">
        <v>0.321</v>
      </c>
      <c r="E34" s="3" t="n">
        <v>0.2805</v>
      </c>
      <c r="F34" s="3" t="n">
        <f aca="false">E34-D34</f>
        <v>-0.0405</v>
      </c>
    </row>
    <row r="35" customFormat="false" ht="15" hidden="false" customHeight="false" outlineLevel="0" collapsed="false">
      <c r="A35" s="0" t="n">
        <v>36</v>
      </c>
      <c r="B35" s="0" t="n">
        <v>13</v>
      </c>
      <c r="C35" s="0" t="n">
        <v>50</v>
      </c>
      <c r="D35" s="3" t="n">
        <v>0.3155</v>
      </c>
      <c r="E35" s="3" t="n">
        <v>0.263</v>
      </c>
      <c r="F35" s="3" t="n">
        <f aca="false">E35-D35</f>
        <v>-0.0525</v>
      </c>
    </row>
    <row r="36" customFormat="false" ht="15" hidden="false" customHeight="false" outlineLevel="0" collapsed="false">
      <c r="A36" s="0" t="n">
        <v>36</v>
      </c>
      <c r="B36" s="0" t="n">
        <v>14</v>
      </c>
      <c r="C36" s="0" t="n">
        <v>49</v>
      </c>
      <c r="D36" s="3" t="n">
        <v>0.3215</v>
      </c>
      <c r="E36" s="3" t="n">
        <v>0.275</v>
      </c>
      <c r="F36" s="3" t="n">
        <f aca="false">E36-D36</f>
        <v>-0.0465</v>
      </c>
    </row>
    <row r="37" customFormat="false" ht="15" hidden="false" customHeight="false" outlineLevel="0" collapsed="false">
      <c r="A37" s="0" t="n">
        <v>36</v>
      </c>
      <c r="B37" s="0" t="n">
        <v>15</v>
      </c>
      <c r="C37" s="0" t="n">
        <v>48</v>
      </c>
      <c r="D37" s="3" t="n">
        <v>0.3135</v>
      </c>
      <c r="E37" s="3" t="n">
        <v>0.282</v>
      </c>
      <c r="F37" s="3" t="n">
        <f aca="false">E37-D37</f>
        <v>-0.0315</v>
      </c>
    </row>
    <row r="38" customFormat="false" ht="15" hidden="false" customHeight="false" outlineLevel="0" collapsed="false">
      <c r="A38" s="0" t="n">
        <v>36</v>
      </c>
      <c r="B38" s="0" t="n">
        <v>16</v>
      </c>
      <c r="C38" s="0" t="n">
        <v>47</v>
      </c>
      <c r="D38" s="3" t="n">
        <v>0.321</v>
      </c>
      <c r="E38" s="3" t="n">
        <v>0.277</v>
      </c>
      <c r="F38" s="3" t="n">
        <f aca="false">E38-D38</f>
        <v>-0.044</v>
      </c>
    </row>
    <row r="39" customFormat="false" ht="15" hidden="false" customHeight="false" outlineLevel="0" collapsed="false">
      <c r="A39" s="0" t="n">
        <v>36</v>
      </c>
      <c r="B39" s="0" t="n">
        <v>17</v>
      </c>
      <c r="C39" s="0" t="n">
        <v>46</v>
      </c>
      <c r="D39" s="3" t="n">
        <v>0.333</v>
      </c>
      <c r="E39" s="3" t="n">
        <v>0.2935</v>
      </c>
      <c r="F39" s="3" t="n">
        <f aca="false">E39-D39</f>
        <v>-0.0395</v>
      </c>
    </row>
    <row r="40" customFormat="false" ht="15" hidden="false" customHeight="false" outlineLevel="0" collapsed="false">
      <c r="A40" s="0" t="n">
        <v>36</v>
      </c>
      <c r="B40" s="0" t="n">
        <v>18</v>
      </c>
      <c r="C40" s="0" t="n">
        <v>45</v>
      </c>
      <c r="D40" s="3" t="n">
        <v>0.32</v>
      </c>
      <c r="E40" s="3" t="n">
        <v>0.281</v>
      </c>
      <c r="F40" s="3" t="n">
        <f aca="false">E40-D40</f>
        <v>-0.039</v>
      </c>
    </row>
    <row r="41" customFormat="false" ht="15" hidden="false" customHeight="false" outlineLevel="0" collapsed="false">
      <c r="A41" s="0" t="n">
        <v>36</v>
      </c>
      <c r="B41" s="0" t="n">
        <v>19</v>
      </c>
      <c r="C41" s="0" t="n">
        <v>44</v>
      </c>
      <c r="D41" s="3" t="n">
        <v>0.317</v>
      </c>
      <c r="E41" s="3" t="n">
        <v>0.289</v>
      </c>
      <c r="F41" s="3" t="n">
        <f aca="false">E41-D41</f>
        <v>-0.028</v>
      </c>
    </row>
    <row r="42" customFormat="false" ht="15" hidden="false" customHeight="false" outlineLevel="0" collapsed="false">
      <c r="A42" s="0" t="n">
        <v>36</v>
      </c>
      <c r="B42" s="0" t="n">
        <v>20</v>
      </c>
      <c r="C42" s="0" t="n">
        <v>43</v>
      </c>
      <c r="D42" s="3" t="n">
        <v>0.3335</v>
      </c>
      <c r="E42" s="3" t="n">
        <v>0.3015</v>
      </c>
      <c r="F42" s="3" t="n">
        <f aca="false">E42-D42</f>
        <v>-0.032</v>
      </c>
    </row>
    <row r="43" customFormat="false" ht="15" hidden="false" customHeight="false" outlineLevel="0" collapsed="false">
      <c r="A43" s="0" t="n">
        <v>36</v>
      </c>
      <c r="B43" s="0" t="n">
        <v>21</v>
      </c>
      <c r="C43" s="0" t="n">
        <v>42</v>
      </c>
      <c r="D43" s="3" t="n">
        <v>0.2975</v>
      </c>
      <c r="E43" s="3" t="n">
        <v>0.285</v>
      </c>
      <c r="F43" s="3" t="n">
        <f aca="false">E43-D43</f>
        <v>-0.0125</v>
      </c>
    </row>
    <row r="44" customFormat="false" ht="15" hidden="false" customHeight="false" outlineLevel="0" collapsed="false">
      <c r="A44" s="0" t="n">
        <v>36</v>
      </c>
      <c r="B44" s="0" t="n">
        <v>22</v>
      </c>
      <c r="C44" s="0" t="n">
        <v>41</v>
      </c>
      <c r="D44" s="3" t="n">
        <v>0.301</v>
      </c>
      <c r="E44" s="3" t="n">
        <v>0.292</v>
      </c>
      <c r="F44" s="3" t="n">
        <f aca="false">E44-D44</f>
        <v>-0.00900000000000001</v>
      </c>
    </row>
    <row r="45" customFormat="false" ht="15" hidden="false" customHeight="false" outlineLevel="0" collapsed="false">
      <c r="A45" s="0" t="n">
        <v>36</v>
      </c>
      <c r="B45" s="0" t="n">
        <v>23</v>
      </c>
      <c r="C45" s="0" t="n">
        <v>36</v>
      </c>
      <c r="D45" s="3" t="n">
        <v>0.3035</v>
      </c>
      <c r="E45" s="3" t="n">
        <v>0.2865</v>
      </c>
      <c r="F45" s="3" t="n">
        <f aca="false">E45-D45</f>
        <v>-0.017</v>
      </c>
    </row>
    <row r="46" customFormat="false" ht="15" hidden="false" customHeight="false" outlineLevel="0" collapsed="false">
      <c r="A46" s="0" t="n">
        <v>36</v>
      </c>
      <c r="B46" s="0" t="n">
        <v>24</v>
      </c>
      <c r="C46" s="0" t="n">
        <v>21</v>
      </c>
      <c r="D46" s="3" t="n">
        <v>0.299</v>
      </c>
      <c r="E46" s="3" t="n">
        <v>0.286</v>
      </c>
      <c r="F46" s="3" t="n">
        <f aca="false">E46-D46</f>
        <v>-0.013</v>
      </c>
    </row>
    <row r="47" customFormat="false" ht="15" hidden="false" customHeight="false" outlineLevel="0" collapsed="false">
      <c r="A47" s="0" t="n">
        <v>36</v>
      </c>
      <c r="B47" s="0" t="n">
        <v>25</v>
      </c>
      <c r="C47" s="0" t="n">
        <v>22</v>
      </c>
      <c r="D47" s="3" t="n">
        <v>0.315</v>
      </c>
      <c r="E47" s="3" t="n">
        <v>0.293</v>
      </c>
      <c r="F47" s="3" t="n">
        <f aca="false">E47-D47</f>
        <v>-0.022</v>
      </c>
    </row>
    <row r="48" customFormat="false" ht="15" hidden="false" customHeight="false" outlineLevel="0" collapsed="false">
      <c r="A48" s="0" t="n">
        <v>36</v>
      </c>
      <c r="B48" s="0" t="n">
        <v>26</v>
      </c>
      <c r="C48" s="0" t="n">
        <v>23</v>
      </c>
      <c r="D48" s="3" t="n">
        <v>0.3085</v>
      </c>
      <c r="E48" s="3" t="n">
        <v>0.2725</v>
      </c>
      <c r="F48" s="3" t="n">
        <f aca="false">E48-D48</f>
        <v>-0.036</v>
      </c>
    </row>
    <row r="49" customFormat="false" ht="15" hidden="false" customHeight="false" outlineLevel="0" collapsed="false">
      <c r="A49" s="0" t="n">
        <v>36</v>
      </c>
      <c r="B49" s="0" t="n">
        <v>27</v>
      </c>
      <c r="C49" s="0" t="n">
        <v>24</v>
      </c>
      <c r="D49" s="3" t="n">
        <v>0.3115</v>
      </c>
      <c r="E49" s="3" t="n">
        <v>0.2935</v>
      </c>
      <c r="F49" s="3" t="n">
        <f aca="false">E49-D49</f>
        <v>-0.018</v>
      </c>
    </row>
    <row r="50" customFormat="false" ht="15" hidden="false" customHeight="false" outlineLevel="0" collapsed="false">
      <c r="A50" s="0" t="n">
        <v>36</v>
      </c>
      <c r="B50" s="0" t="n">
        <v>28</v>
      </c>
      <c r="C50" s="0" t="n">
        <v>25</v>
      </c>
      <c r="D50" s="3" t="n">
        <v>0.2995</v>
      </c>
      <c r="E50" s="3" t="n">
        <v>0.304</v>
      </c>
      <c r="F50" s="3" t="n">
        <f aca="false">E50-D50</f>
        <v>0.0045</v>
      </c>
    </row>
    <row r="51" customFormat="false" ht="15" hidden="false" customHeight="false" outlineLevel="0" collapsed="false">
      <c r="A51" s="0" t="n">
        <v>36</v>
      </c>
      <c r="B51" s="0" t="n">
        <v>29</v>
      </c>
      <c r="C51" s="0" t="n">
        <v>26</v>
      </c>
      <c r="D51" s="3" t="n">
        <v>0.2975</v>
      </c>
      <c r="E51" s="3" t="n">
        <v>0.298</v>
      </c>
      <c r="F51" s="3" t="n">
        <f aca="false">E51-D51</f>
        <v>0.0005</v>
      </c>
    </row>
    <row r="52" customFormat="false" ht="15" hidden="false" customHeight="false" outlineLevel="0" collapsed="false">
      <c r="A52" s="0" t="n">
        <v>36</v>
      </c>
      <c r="B52" s="0" t="n">
        <v>30</v>
      </c>
      <c r="C52" s="0" t="n">
        <v>27</v>
      </c>
      <c r="D52" s="3" t="n">
        <v>0.3005</v>
      </c>
      <c r="E52" s="3" t="n">
        <v>0.315</v>
      </c>
      <c r="F52" s="3" t="n">
        <f aca="false">E52-D52</f>
        <v>0.0145</v>
      </c>
    </row>
    <row r="53" customFormat="false" ht="15" hidden="false" customHeight="false" outlineLevel="0" collapsed="false">
      <c r="A53" s="0" t="n">
        <v>36</v>
      </c>
      <c r="B53" s="0" t="n">
        <v>31</v>
      </c>
      <c r="C53" s="0" t="n">
        <v>28</v>
      </c>
      <c r="D53" s="3" t="n">
        <v>0.2805</v>
      </c>
      <c r="E53" s="3" t="n">
        <v>0.2835</v>
      </c>
      <c r="F53" s="3" t="n">
        <f aca="false">E53-D53</f>
        <v>0.00299999999999995</v>
      </c>
    </row>
    <row r="54" customFormat="false" ht="15" hidden="false" customHeight="false" outlineLevel="0" collapsed="false">
      <c r="A54" s="0" t="n">
        <v>36</v>
      </c>
      <c r="B54" s="0" t="n">
        <v>32</v>
      </c>
      <c r="C54" s="0" t="n">
        <v>29</v>
      </c>
      <c r="D54" s="3" t="n">
        <v>0.3045</v>
      </c>
      <c r="E54" s="3" t="n">
        <v>0.2825</v>
      </c>
      <c r="F54" s="3" t="n">
        <f aca="false">E54-D54</f>
        <v>-0.022</v>
      </c>
    </row>
    <row r="55" customFormat="false" ht="15" hidden="false" customHeight="false" outlineLevel="0" collapsed="false">
      <c r="A55" s="0" t="n">
        <v>36</v>
      </c>
      <c r="B55" s="0" t="n">
        <v>33</v>
      </c>
      <c r="C55" s="0" t="n">
        <v>30</v>
      </c>
      <c r="D55" s="3" t="n">
        <v>0.27</v>
      </c>
      <c r="E55" s="3" t="n">
        <v>0.27</v>
      </c>
      <c r="F55" s="3" t="n">
        <f aca="false">E55-D55</f>
        <v>0</v>
      </c>
    </row>
    <row r="56" customFormat="false" ht="15" hidden="false" customHeight="false" outlineLevel="0" collapsed="false">
      <c r="A56" s="0" t="n">
        <v>36</v>
      </c>
      <c r="B56" s="0" t="n">
        <v>34</v>
      </c>
      <c r="C56" s="0" t="n">
        <v>31</v>
      </c>
      <c r="D56" s="3" t="n">
        <v>0.2845</v>
      </c>
      <c r="E56" s="3" t="n">
        <v>0.287</v>
      </c>
      <c r="F56" s="3" t="n">
        <f aca="false">E56-D56</f>
        <v>0.0025</v>
      </c>
    </row>
    <row r="57" customFormat="false" ht="15" hidden="false" customHeight="false" outlineLevel="0" collapsed="false">
      <c r="A57" s="0" t="n">
        <v>36</v>
      </c>
      <c r="B57" s="0" t="n">
        <v>35</v>
      </c>
      <c r="C57" s="0" t="n">
        <v>18</v>
      </c>
      <c r="D57" s="3" t="n">
        <v>0.261</v>
      </c>
      <c r="E57" s="3" t="n">
        <v>0.267</v>
      </c>
      <c r="F57" s="3" t="n">
        <f aca="false">E57-D57</f>
        <v>0.00600000000000001</v>
      </c>
    </row>
    <row r="58" customFormat="false" ht="15" hidden="false" customHeight="false" outlineLevel="0" collapsed="false">
      <c r="A58" s="0" t="n">
        <v>40</v>
      </c>
      <c r="B58" s="0" t="n">
        <v>0</v>
      </c>
      <c r="C58" s="0" t="n">
        <v>3</v>
      </c>
      <c r="D58" s="3" t="n">
        <v>0.4735</v>
      </c>
      <c r="E58" s="3" t="n">
        <v>0.468</v>
      </c>
      <c r="F58" s="3" t="n">
        <f aca="false">E58-D58</f>
        <v>-0.00549999999999995</v>
      </c>
    </row>
    <row r="59" customFormat="false" ht="15" hidden="false" customHeight="false" outlineLevel="0" collapsed="false">
      <c r="A59" s="0" t="n">
        <v>40</v>
      </c>
      <c r="B59" s="0" t="n">
        <v>1</v>
      </c>
      <c r="C59" s="0" t="n">
        <v>4</v>
      </c>
      <c r="D59" s="3" t="n">
        <v>0.471</v>
      </c>
      <c r="E59" s="3" t="n">
        <v>0.483</v>
      </c>
      <c r="F59" s="3" t="n">
        <f aca="false">E59-D59</f>
        <v>0.012</v>
      </c>
    </row>
    <row r="60" customFormat="false" ht="15" hidden="false" customHeight="false" outlineLevel="0" collapsed="false">
      <c r="A60" s="0" t="n">
        <v>40</v>
      </c>
      <c r="B60" s="0" t="n">
        <v>2</v>
      </c>
      <c r="C60" s="0" t="n">
        <v>5</v>
      </c>
      <c r="D60" s="3" t="n">
        <v>0.4745</v>
      </c>
      <c r="E60" s="3" t="n">
        <v>0.473</v>
      </c>
      <c r="F60" s="3" t="n">
        <f aca="false">E60-D60</f>
        <v>-0.0015</v>
      </c>
    </row>
    <row r="61" customFormat="false" ht="15" hidden="false" customHeight="false" outlineLevel="0" collapsed="false">
      <c r="A61" s="0" t="n">
        <v>40</v>
      </c>
      <c r="B61" s="0" t="n">
        <v>3</v>
      </c>
      <c r="C61" s="0" t="n">
        <v>6</v>
      </c>
      <c r="D61" s="3" t="n">
        <v>0.4815</v>
      </c>
      <c r="E61" s="3" t="n">
        <v>0.48</v>
      </c>
      <c r="F61" s="3" t="n">
        <f aca="false">E61-D61</f>
        <v>-0.0015</v>
      </c>
    </row>
    <row r="62" customFormat="false" ht="15" hidden="false" customHeight="false" outlineLevel="0" collapsed="false">
      <c r="A62" s="0" t="n">
        <v>40</v>
      </c>
      <c r="B62" s="0" t="n">
        <v>4</v>
      </c>
      <c r="C62" s="0" t="n">
        <v>7</v>
      </c>
      <c r="D62" s="3" t="n">
        <v>0.4775</v>
      </c>
      <c r="E62" s="3" t="n">
        <v>0.4725</v>
      </c>
      <c r="F62" s="3" t="n">
        <f aca="false">E62-D62</f>
        <v>-0.005</v>
      </c>
    </row>
    <row r="63" customFormat="false" ht="15" hidden="false" customHeight="false" outlineLevel="0" collapsed="false">
      <c r="A63" s="0" t="n">
        <v>40</v>
      </c>
      <c r="B63" s="0" t="n">
        <v>5</v>
      </c>
      <c r="C63" s="0" t="n">
        <v>17</v>
      </c>
      <c r="D63" s="3" t="n">
        <v>0.479</v>
      </c>
      <c r="E63" s="3" t="n">
        <v>0.473</v>
      </c>
      <c r="F63" s="3" t="n">
        <f aca="false">E63-D63</f>
        <v>-0.00600000000000001</v>
      </c>
    </row>
    <row r="64" customFormat="false" ht="15" hidden="false" customHeight="false" outlineLevel="0" collapsed="false">
      <c r="A64" s="0" t="n">
        <v>40</v>
      </c>
      <c r="B64" s="0" t="n">
        <v>6</v>
      </c>
      <c r="C64" s="0" t="n">
        <v>27</v>
      </c>
      <c r="D64" s="3" t="n">
        <v>0.4525</v>
      </c>
      <c r="E64" s="3" t="n">
        <v>0.4805</v>
      </c>
      <c r="F64" s="3" t="n">
        <f aca="false">E64-D64</f>
        <v>0.028</v>
      </c>
    </row>
    <row r="65" customFormat="false" ht="15" hidden="false" customHeight="false" outlineLevel="0" collapsed="false">
      <c r="A65" s="0" t="n">
        <v>40</v>
      </c>
      <c r="B65" s="0" t="n">
        <v>7</v>
      </c>
      <c r="C65" s="0" t="n">
        <v>28</v>
      </c>
      <c r="D65" s="3" t="n">
        <v>0.473</v>
      </c>
      <c r="E65" s="3" t="n">
        <v>0.475</v>
      </c>
      <c r="F65" s="3" t="n">
        <f aca="false">E65-D65</f>
        <v>0.002</v>
      </c>
    </row>
    <row r="66" customFormat="false" ht="15" hidden="false" customHeight="false" outlineLevel="0" collapsed="false">
      <c r="A66" s="0" t="n">
        <v>40</v>
      </c>
      <c r="B66" s="0" t="n">
        <v>8</v>
      </c>
      <c r="C66" s="0" t="n">
        <v>29</v>
      </c>
      <c r="D66" s="3" t="n">
        <v>0.439</v>
      </c>
      <c r="E66" s="3" t="n">
        <v>0.4655</v>
      </c>
      <c r="F66" s="3" t="n">
        <f aca="false">E66-D66</f>
        <v>0.0265</v>
      </c>
    </row>
    <row r="67" customFormat="false" ht="15" hidden="false" customHeight="false" outlineLevel="0" collapsed="false">
      <c r="A67" s="0" t="n">
        <v>40</v>
      </c>
      <c r="B67" s="0" t="n">
        <v>9</v>
      </c>
      <c r="C67" s="0" t="n">
        <v>38</v>
      </c>
      <c r="D67" s="3" t="n">
        <v>0.3425</v>
      </c>
      <c r="E67" s="3" t="n">
        <v>0.3485</v>
      </c>
      <c r="F67" s="3" t="n">
        <f aca="false">E67-D67</f>
        <v>0.00599999999999995</v>
      </c>
    </row>
    <row r="68" customFormat="false" ht="15" hidden="false" customHeight="false" outlineLevel="0" collapsed="false">
      <c r="A68" s="0" t="n">
        <v>40</v>
      </c>
      <c r="B68" s="0" t="n">
        <v>10</v>
      </c>
      <c r="C68" s="0" t="n">
        <v>49</v>
      </c>
      <c r="D68" s="3" t="n">
        <v>0.358</v>
      </c>
      <c r="E68" s="3" t="n">
        <v>0.373</v>
      </c>
      <c r="F68" s="3" t="n">
        <f aca="false">E68-D68</f>
        <v>0.015</v>
      </c>
    </row>
    <row r="69" customFormat="false" ht="15" hidden="false" customHeight="false" outlineLevel="0" collapsed="false">
      <c r="A69" s="0" t="n">
        <v>40</v>
      </c>
      <c r="B69" s="0" t="n">
        <v>11</v>
      </c>
      <c r="C69" s="0" t="n">
        <v>50</v>
      </c>
      <c r="D69" s="3" t="n">
        <v>0.394</v>
      </c>
      <c r="E69" s="3" t="n">
        <v>0.3995</v>
      </c>
      <c r="F69" s="3" t="n">
        <f aca="false">E69-D69</f>
        <v>0.00550000000000001</v>
      </c>
    </row>
    <row r="70" customFormat="false" ht="15" hidden="false" customHeight="false" outlineLevel="0" collapsed="false">
      <c r="A70" s="0" t="n">
        <v>40</v>
      </c>
      <c r="B70" s="0" t="n">
        <v>12</v>
      </c>
      <c r="C70" s="0" t="n">
        <v>51</v>
      </c>
      <c r="D70" s="3" t="n">
        <v>0.401</v>
      </c>
      <c r="E70" s="3" t="n">
        <v>0.3955</v>
      </c>
      <c r="F70" s="3" t="n">
        <f aca="false">E70-D70</f>
        <v>-0.00550000000000001</v>
      </c>
    </row>
    <row r="71" customFormat="false" ht="15" hidden="false" customHeight="false" outlineLevel="0" collapsed="false">
      <c r="A71" s="0" t="n">
        <v>40</v>
      </c>
      <c r="B71" s="0" t="n">
        <v>13</v>
      </c>
      <c r="C71" s="0" t="n">
        <v>52</v>
      </c>
      <c r="D71" s="3" t="n">
        <v>0.4115</v>
      </c>
      <c r="E71" s="3" t="n">
        <v>0.4255</v>
      </c>
      <c r="F71" s="3" t="n">
        <f aca="false">E71-D71</f>
        <v>0.014</v>
      </c>
    </row>
    <row r="72" customFormat="false" ht="15" hidden="false" customHeight="false" outlineLevel="0" collapsed="false">
      <c r="A72" s="0" t="n">
        <v>40</v>
      </c>
      <c r="B72" s="0" t="n">
        <v>14</v>
      </c>
      <c r="C72" s="0" t="n">
        <v>53</v>
      </c>
      <c r="D72" s="3" t="n">
        <v>0.4285</v>
      </c>
      <c r="E72" s="3" t="n">
        <v>0.4225</v>
      </c>
      <c r="F72" s="3" t="n">
        <f aca="false">E72-D72</f>
        <v>-0.00600000000000001</v>
      </c>
    </row>
    <row r="73" customFormat="false" ht="15" hidden="false" customHeight="false" outlineLevel="0" collapsed="false">
      <c r="A73" s="0" t="n">
        <v>40</v>
      </c>
      <c r="B73" s="0" t="n">
        <v>15</v>
      </c>
      <c r="C73" s="0" t="n">
        <v>54</v>
      </c>
      <c r="D73" s="3" t="n">
        <v>0.4215</v>
      </c>
      <c r="E73" s="3" t="n">
        <v>0.4155</v>
      </c>
      <c r="F73" s="3" t="n">
        <f aca="false">E73-D73</f>
        <v>-0.00600000000000001</v>
      </c>
    </row>
    <row r="74" customFormat="false" ht="15" hidden="false" customHeight="false" outlineLevel="0" collapsed="false">
      <c r="A74" s="0" t="n">
        <v>40</v>
      </c>
      <c r="B74" s="0" t="n">
        <v>16</v>
      </c>
      <c r="C74" s="0" t="n">
        <v>55</v>
      </c>
      <c r="D74" s="3" t="n">
        <v>0.414</v>
      </c>
      <c r="E74" s="3" t="n">
        <v>0.4025</v>
      </c>
      <c r="F74" s="3" t="n">
        <f aca="false">E74-D74</f>
        <v>-0.0115</v>
      </c>
    </row>
    <row r="75" customFormat="false" ht="15" hidden="false" customHeight="false" outlineLevel="0" collapsed="false">
      <c r="A75" s="0" t="n">
        <v>40</v>
      </c>
      <c r="B75" s="0" t="n">
        <v>17</v>
      </c>
      <c r="C75" s="0" t="n">
        <v>59</v>
      </c>
      <c r="D75" s="3" t="n">
        <v>0.433</v>
      </c>
      <c r="E75" s="3" t="n">
        <v>0.4095</v>
      </c>
      <c r="F75" s="3" t="n">
        <f aca="false">E75-D75</f>
        <v>-0.0235</v>
      </c>
    </row>
    <row r="76" customFormat="false" ht="15" hidden="false" customHeight="false" outlineLevel="0" collapsed="false">
      <c r="A76" s="0" t="n">
        <v>40</v>
      </c>
      <c r="B76" s="0" t="n">
        <v>18</v>
      </c>
      <c r="C76" s="0" t="n">
        <v>75</v>
      </c>
      <c r="D76" s="3" t="n">
        <v>0.4</v>
      </c>
      <c r="E76" s="3" t="n">
        <v>0.3735</v>
      </c>
      <c r="F76" s="3" t="n">
        <f aca="false">E76-D76</f>
        <v>-0.0265</v>
      </c>
    </row>
    <row r="77" customFormat="false" ht="15" hidden="false" customHeight="false" outlineLevel="0" collapsed="false">
      <c r="A77" s="0" t="n">
        <v>40</v>
      </c>
      <c r="B77" s="0" t="n">
        <v>19</v>
      </c>
      <c r="C77" s="0" t="n">
        <v>74</v>
      </c>
      <c r="D77" s="3" t="n">
        <v>0.349</v>
      </c>
      <c r="E77" s="3" t="n">
        <v>0.313</v>
      </c>
      <c r="F77" s="3" t="n">
        <f aca="false">E77-D77</f>
        <v>-0.036</v>
      </c>
    </row>
    <row r="78" customFormat="false" ht="15" hidden="false" customHeight="false" outlineLevel="0" collapsed="false">
      <c r="A78" s="0" t="n">
        <v>40</v>
      </c>
      <c r="B78" s="0" t="n">
        <v>20</v>
      </c>
      <c r="C78" s="0" t="n">
        <v>73</v>
      </c>
      <c r="D78" s="3" t="n">
        <v>0.276</v>
      </c>
      <c r="E78" s="3" t="n">
        <v>0.255</v>
      </c>
      <c r="F78" s="3" t="n">
        <f aca="false">E78-D78</f>
        <v>-0.021</v>
      </c>
    </row>
    <row r="79" customFormat="false" ht="15" hidden="false" customHeight="false" outlineLevel="0" collapsed="false">
      <c r="A79" s="0" t="n">
        <v>40</v>
      </c>
      <c r="B79" s="0" t="n">
        <v>21</v>
      </c>
      <c r="C79" s="0" t="n">
        <v>72</v>
      </c>
      <c r="D79" s="3" t="n">
        <v>0.278</v>
      </c>
      <c r="E79" s="3" t="n">
        <v>0.2645</v>
      </c>
      <c r="F79" s="3" t="n">
        <f aca="false">E79-D79</f>
        <v>-0.0135</v>
      </c>
    </row>
    <row r="80" customFormat="false" ht="15" hidden="false" customHeight="false" outlineLevel="0" collapsed="false">
      <c r="A80" s="0" t="n">
        <v>40</v>
      </c>
      <c r="B80" s="0" t="n">
        <v>22</v>
      </c>
      <c r="C80" s="0" t="n">
        <v>71</v>
      </c>
      <c r="D80" s="3" t="n">
        <v>0.2635</v>
      </c>
      <c r="E80" s="3" t="n">
        <v>0.246</v>
      </c>
      <c r="F80" s="3" t="n">
        <f aca="false">E80-D80</f>
        <v>-0.0175</v>
      </c>
    </row>
    <row r="81" customFormat="false" ht="15" hidden="false" customHeight="false" outlineLevel="0" collapsed="false">
      <c r="A81" s="0" t="n">
        <v>40</v>
      </c>
      <c r="B81" s="0" t="n">
        <v>23</v>
      </c>
      <c r="C81" s="0" t="n">
        <v>70</v>
      </c>
      <c r="D81" s="3" t="n">
        <v>0.2765</v>
      </c>
      <c r="E81" s="3" t="n">
        <v>0.2395</v>
      </c>
      <c r="F81" s="3" t="n">
        <f aca="false">E81-D81</f>
        <v>-0.037</v>
      </c>
    </row>
    <row r="82" customFormat="false" ht="15" hidden="false" customHeight="false" outlineLevel="0" collapsed="false">
      <c r="A82" s="0" t="n">
        <v>40</v>
      </c>
      <c r="B82" s="0" t="n">
        <v>24</v>
      </c>
      <c r="C82" s="0" t="n">
        <v>69</v>
      </c>
      <c r="D82" s="3" t="n">
        <v>0.279</v>
      </c>
      <c r="E82" s="3" t="n">
        <v>0.2725</v>
      </c>
      <c r="F82" s="3" t="n">
        <f aca="false">E82-D82</f>
        <v>-0.00650000000000001</v>
      </c>
    </row>
    <row r="83" customFormat="false" ht="15" hidden="false" customHeight="false" outlineLevel="0" collapsed="false">
      <c r="A83" s="0" t="n">
        <v>40</v>
      </c>
      <c r="B83" s="0" t="n">
        <v>25</v>
      </c>
      <c r="C83" s="0" t="n">
        <v>68</v>
      </c>
      <c r="D83" s="3" t="n">
        <v>0.2755</v>
      </c>
      <c r="E83" s="3" t="n">
        <v>0.26</v>
      </c>
      <c r="F83" s="3" t="n">
        <f aca="false">E83-D83</f>
        <v>-0.0155</v>
      </c>
    </row>
    <row r="84" customFormat="false" ht="15" hidden="false" customHeight="false" outlineLevel="0" collapsed="false">
      <c r="A84" s="0" t="n">
        <v>40</v>
      </c>
      <c r="B84" s="0" t="n">
        <v>26</v>
      </c>
      <c r="C84" s="0" t="n">
        <v>67</v>
      </c>
      <c r="D84" s="3" t="n">
        <v>0.2635</v>
      </c>
      <c r="E84" s="3" t="n">
        <v>0.2465</v>
      </c>
      <c r="F84" s="3" t="n">
        <f aca="false">E84-D84</f>
        <v>-0.017</v>
      </c>
    </row>
    <row r="85" customFormat="false" ht="15" hidden="false" customHeight="false" outlineLevel="0" collapsed="false">
      <c r="A85" s="0" t="n">
        <v>40</v>
      </c>
      <c r="B85" s="0" t="n">
        <v>27</v>
      </c>
      <c r="C85" s="0" t="n">
        <v>66</v>
      </c>
      <c r="D85" s="3" t="n">
        <v>0.266</v>
      </c>
      <c r="E85" s="3" t="n">
        <v>0.2525</v>
      </c>
      <c r="F85" s="3" t="n">
        <f aca="false">E85-D85</f>
        <v>-0.0135</v>
      </c>
    </row>
    <row r="86" customFormat="false" ht="15" hidden="false" customHeight="false" outlineLevel="0" collapsed="false">
      <c r="A86" s="0" t="n">
        <v>40</v>
      </c>
      <c r="B86" s="0" t="n">
        <v>28</v>
      </c>
      <c r="C86" s="0" t="n">
        <v>65</v>
      </c>
      <c r="D86" s="3" t="n">
        <v>0.254</v>
      </c>
      <c r="E86" s="3" t="n">
        <v>0.2695</v>
      </c>
      <c r="F86" s="3" t="n">
        <f aca="false">E86-D86</f>
        <v>0.0155</v>
      </c>
    </row>
    <row r="87" customFormat="false" ht="15" hidden="false" customHeight="false" outlineLevel="0" collapsed="false">
      <c r="A87" s="0" t="n">
        <v>40</v>
      </c>
      <c r="B87" s="0" t="n">
        <v>29</v>
      </c>
      <c r="C87" s="0" t="n">
        <v>64</v>
      </c>
      <c r="D87" s="3" t="n">
        <v>0.256</v>
      </c>
      <c r="E87" s="3" t="n">
        <v>0.245</v>
      </c>
      <c r="F87" s="3" t="n">
        <f aca="false">E87-D87</f>
        <v>-0.011</v>
      </c>
    </row>
    <row r="88" customFormat="false" ht="15" hidden="false" customHeight="false" outlineLevel="0" collapsed="false">
      <c r="A88" s="0" t="n">
        <v>40</v>
      </c>
      <c r="B88" s="0" t="n">
        <v>30</v>
      </c>
      <c r="C88" s="0" t="n">
        <v>63</v>
      </c>
      <c r="D88" s="3" t="n">
        <v>0.2655</v>
      </c>
      <c r="E88" s="3" t="n">
        <v>0.2695</v>
      </c>
      <c r="F88" s="3" t="n">
        <f aca="false">E88-D88</f>
        <v>0.004</v>
      </c>
    </row>
    <row r="89" customFormat="false" ht="15" hidden="false" customHeight="false" outlineLevel="0" collapsed="false">
      <c r="A89" s="0" t="n">
        <v>40</v>
      </c>
      <c r="B89" s="0" t="n">
        <v>31</v>
      </c>
      <c r="C89" s="0" t="n">
        <v>56</v>
      </c>
      <c r="D89" s="3" t="n">
        <v>0.2535</v>
      </c>
      <c r="E89" s="3" t="n">
        <v>0.286</v>
      </c>
      <c r="F89" s="3" t="n">
        <f aca="false">E89-D89</f>
        <v>0.0325</v>
      </c>
    </row>
    <row r="90" customFormat="false" ht="15" hidden="false" customHeight="false" outlineLevel="0" collapsed="false">
      <c r="A90" s="0" t="n">
        <v>40</v>
      </c>
      <c r="B90" s="0" t="n">
        <v>32</v>
      </c>
      <c r="C90" s="0" t="n">
        <v>43</v>
      </c>
      <c r="D90" s="3" t="n">
        <v>0.291</v>
      </c>
      <c r="E90" s="3" t="n">
        <v>0.2935</v>
      </c>
      <c r="F90" s="3" t="n">
        <f aca="false">E90-D90</f>
        <v>0.0025</v>
      </c>
    </row>
    <row r="91" customFormat="false" ht="15" hidden="false" customHeight="false" outlineLevel="0" collapsed="false">
      <c r="A91" s="0" t="n">
        <v>40</v>
      </c>
      <c r="B91" s="0" t="n">
        <v>33</v>
      </c>
      <c r="C91" s="0" t="n">
        <v>42</v>
      </c>
      <c r="D91" s="3" t="n">
        <v>0.2815</v>
      </c>
      <c r="E91" s="3" t="n">
        <v>0.2845</v>
      </c>
      <c r="F91" s="3" t="n">
        <f aca="false">E91-D91</f>
        <v>0.003</v>
      </c>
    </row>
    <row r="92" customFormat="false" ht="15" hidden="false" customHeight="false" outlineLevel="0" collapsed="false">
      <c r="A92" s="0" t="n">
        <v>40</v>
      </c>
      <c r="B92" s="0" t="n">
        <v>34</v>
      </c>
      <c r="C92" s="0" t="n">
        <v>41</v>
      </c>
      <c r="D92" s="3" t="n">
        <v>0.295</v>
      </c>
      <c r="E92" s="3" t="n">
        <v>0.285</v>
      </c>
      <c r="F92" s="3" t="n">
        <f aca="false">E92-D92</f>
        <v>-0.01</v>
      </c>
    </row>
    <row r="93" customFormat="false" ht="15" hidden="false" customHeight="false" outlineLevel="0" collapsed="false">
      <c r="A93" s="0" t="n">
        <v>40</v>
      </c>
      <c r="B93" s="0" t="n">
        <v>35</v>
      </c>
      <c r="C93" s="0" t="n">
        <v>36</v>
      </c>
      <c r="D93" s="3" t="n">
        <v>0.2885</v>
      </c>
      <c r="E93" s="3" t="n">
        <v>0.289</v>
      </c>
      <c r="F93" s="3" t="n">
        <f aca="false">E93-D93</f>
        <v>0.0005</v>
      </c>
    </row>
    <row r="94" customFormat="false" ht="15" hidden="false" customHeight="false" outlineLevel="0" collapsed="false">
      <c r="A94" s="0" t="n">
        <v>40</v>
      </c>
      <c r="B94" s="0" t="n">
        <v>36</v>
      </c>
      <c r="C94" s="0" t="n">
        <v>21</v>
      </c>
      <c r="D94" s="3" t="n">
        <v>0.296</v>
      </c>
      <c r="E94" s="3" t="n">
        <v>0.3105</v>
      </c>
      <c r="F94" s="3" t="n">
        <f aca="false">E94-D94</f>
        <v>0.0145</v>
      </c>
    </row>
    <row r="95" customFormat="false" ht="15" hidden="false" customHeight="false" outlineLevel="0" collapsed="false">
      <c r="A95" s="0" t="n">
        <v>40</v>
      </c>
      <c r="B95" s="0" t="n">
        <v>37</v>
      </c>
      <c r="C95" s="0" t="n">
        <v>22</v>
      </c>
      <c r="D95" s="3" t="n">
        <v>0.3265</v>
      </c>
      <c r="E95" s="3" t="n">
        <v>0.3325</v>
      </c>
      <c r="F95" s="3" t="n">
        <f aca="false">E95-D95</f>
        <v>0.00600000000000001</v>
      </c>
    </row>
    <row r="96" customFormat="false" ht="15" hidden="false" customHeight="false" outlineLevel="0" collapsed="false">
      <c r="A96" s="0" t="n">
        <v>40</v>
      </c>
      <c r="B96" s="0" t="n">
        <v>38</v>
      </c>
      <c r="C96" s="0" t="n">
        <v>23</v>
      </c>
      <c r="D96" s="3" t="n">
        <v>0.395</v>
      </c>
      <c r="E96" s="3" t="n">
        <v>0.369</v>
      </c>
      <c r="F96" s="3" t="n">
        <f aca="false">E96-D96</f>
        <v>-0.026</v>
      </c>
    </row>
    <row r="97" customFormat="false" ht="15" hidden="false" customHeight="false" outlineLevel="0" collapsed="false">
      <c r="A97" s="0" t="n">
        <v>40</v>
      </c>
      <c r="B97" s="0" t="n">
        <v>39</v>
      </c>
      <c r="C97" s="0" t="n">
        <v>16</v>
      </c>
      <c r="D97" s="3" t="n">
        <v>0.4565</v>
      </c>
      <c r="E97" s="3" t="n">
        <v>0.4315</v>
      </c>
      <c r="F97" s="3" t="n">
        <f aca="false">E97-D97</f>
        <v>-0.025</v>
      </c>
    </row>
    <row r="98" customFormat="false" ht="15" hidden="false" customHeight="false" outlineLevel="0" collapsed="false">
      <c r="A98" s="0" t="n">
        <v>72</v>
      </c>
      <c r="B98" s="0" t="n">
        <v>0</v>
      </c>
      <c r="C98" s="0" t="n">
        <v>3</v>
      </c>
      <c r="D98" s="3" t="n">
        <v>0.4805</v>
      </c>
      <c r="E98" s="3" t="n">
        <v>0.489</v>
      </c>
      <c r="F98" s="3" t="n">
        <f aca="false">E98-D98</f>
        <v>0.00850000000000001</v>
      </c>
    </row>
    <row r="99" customFormat="false" ht="15" hidden="false" customHeight="false" outlineLevel="0" collapsed="false">
      <c r="A99" s="0" t="n">
        <v>72</v>
      </c>
      <c r="B99" s="0" t="n">
        <v>1</v>
      </c>
      <c r="C99" s="0" t="n">
        <v>16</v>
      </c>
      <c r="D99" s="3" t="n">
        <v>0.478</v>
      </c>
      <c r="E99" s="3" t="n">
        <v>0.4705</v>
      </c>
      <c r="F99" s="3" t="n">
        <f aca="false">E99-D99</f>
        <v>-0.00750000000000001</v>
      </c>
    </row>
    <row r="100" customFormat="false" ht="15" hidden="false" customHeight="false" outlineLevel="0" collapsed="false">
      <c r="A100" s="0" t="n">
        <v>72</v>
      </c>
      <c r="B100" s="0" t="n">
        <v>2</v>
      </c>
      <c r="C100" s="0" t="n">
        <v>23</v>
      </c>
      <c r="D100" s="3" t="n">
        <v>0.472</v>
      </c>
      <c r="E100" s="3" t="n">
        <v>0.4745</v>
      </c>
      <c r="F100" s="3" t="n">
        <f aca="false">E100-D100</f>
        <v>0.0025</v>
      </c>
    </row>
    <row r="101" customFormat="false" ht="15" hidden="false" customHeight="false" outlineLevel="0" collapsed="false">
      <c r="A101" s="0" t="n">
        <v>72</v>
      </c>
      <c r="B101" s="0" t="n">
        <v>3</v>
      </c>
      <c r="C101" s="0" t="n">
        <v>22</v>
      </c>
      <c r="D101" s="3" t="n">
        <v>0.4165</v>
      </c>
      <c r="E101" s="3" t="n">
        <v>0.455</v>
      </c>
      <c r="F101" s="3" t="n">
        <f aca="false">E101-D101</f>
        <v>0.0385</v>
      </c>
    </row>
    <row r="102" customFormat="false" ht="15" hidden="false" customHeight="false" outlineLevel="0" collapsed="false">
      <c r="A102" s="0" t="n">
        <v>72</v>
      </c>
      <c r="B102" s="0" t="n">
        <v>4</v>
      </c>
      <c r="C102" s="0" t="n">
        <v>21</v>
      </c>
      <c r="D102" s="3" t="n">
        <v>0.341</v>
      </c>
      <c r="E102" s="3" t="n">
        <v>0.3545</v>
      </c>
      <c r="F102" s="3" t="n">
        <f aca="false">E102-D102</f>
        <v>0.0135</v>
      </c>
    </row>
    <row r="103" customFormat="false" ht="15" hidden="false" customHeight="false" outlineLevel="0" collapsed="false">
      <c r="A103" s="0" t="n">
        <v>72</v>
      </c>
      <c r="B103" s="0" t="n">
        <v>5</v>
      </c>
      <c r="C103" s="0" t="n">
        <v>36</v>
      </c>
      <c r="D103" s="3" t="n">
        <v>0.3225</v>
      </c>
      <c r="E103" s="3" t="n">
        <v>0.3315</v>
      </c>
      <c r="F103" s="3" t="n">
        <f aca="false">E103-D103</f>
        <v>0.00900000000000001</v>
      </c>
    </row>
    <row r="104" customFormat="false" ht="15" hidden="false" customHeight="false" outlineLevel="0" collapsed="false">
      <c r="A104" s="0" t="n">
        <v>72</v>
      </c>
      <c r="B104" s="0" t="n">
        <v>6</v>
      </c>
      <c r="C104" s="0" t="n">
        <v>41</v>
      </c>
      <c r="D104" s="3" t="n">
        <v>0.2905</v>
      </c>
      <c r="E104" s="3" t="n">
        <v>0.2835</v>
      </c>
      <c r="F104" s="3" t="n">
        <f aca="false">E104-D104</f>
        <v>-0.00700000000000001</v>
      </c>
    </row>
    <row r="105" customFormat="false" ht="15" hidden="false" customHeight="false" outlineLevel="0" collapsed="false">
      <c r="A105" s="0" t="n">
        <v>72</v>
      </c>
      <c r="B105" s="0" t="n">
        <v>7</v>
      </c>
      <c r="C105" s="0" t="n">
        <v>42</v>
      </c>
      <c r="D105" s="3" t="n">
        <v>0.28</v>
      </c>
      <c r="E105" s="3" t="n">
        <v>0.292</v>
      </c>
      <c r="F105" s="3" t="n">
        <f aca="false">E105-D105</f>
        <v>0.012</v>
      </c>
    </row>
    <row r="106" customFormat="false" ht="15" hidden="false" customHeight="false" outlineLevel="0" collapsed="false">
      <c r="A106" s="0" t="n">
        <v>72</v>
      </c>
      <c r="B106" s="0" t="n">
        <v>8</v>
      </c>
      <c r="C106" s="0" t="n">
        <v>43</v>
      </c>
      <c r="D106" s="3" t="n">
        <v>0.282</v>
      </c>
      <c r="E106" s="3" t="n">
        <v>0.2995</v>
      </c>
      <c r="F106" s="3" t="n">
        <f aca="false">E106-D106</f>
        <v>0.0175</v>
      </c>
    </row>
    <row r="107" customFormat="false" ht="15" hidden="false" customHeight="false" outlineLevel="0" collapsed="false">
      <c r="A107" s="0" t="n">
        <v>72</v>
      </c>
      <c r="B107" s="0" t="n">
        <v>9</v>
      </c>
      <c r="C107" s="0" t="n">
        <v>56</v>
      </c>
      <c r="D107" s="3" t="n">
        <v>0.301</v>
      </c>
      <c r="E107" s="3" t="n">
        <v>0.2955</v>
      </c>
      <c r="F107" s="3" t="n">
        <f aca="false">E107-D107</f>
        <v>-0.00550000000000001</v>
      </c>
    </row>
    <row r="108" customFormat="false" ht="15" hidden="false" customHeight="false" outlineLevel="0" collapsed="false">
      <c r="A108" s="0" t="n">
        <v>72</v>
      </c>
      <c r="B108" s="0" t="n">
        <v>10</v>
      </c>
      <c r="C108" s="0" t="n">
        <v>63</v>
      </c>
      <c r="D108" s="3" t="n">
        <v>0.308</v>
      </c>
      <c r="E108" s="3" t="n">
        <v>0.3045</v>
      </c>
      <c r="F108" s="3" t="n">
        <f aca="false">E108-D108</f>
        <v>-0.0035</v>
      </c>
    </row>
    <row r="109" customFormat="false" ht="15" hidden="false" customHeight="false" outlineLevel="0" collapsed="false">
      <c r="A109" s="0" t="n">
        <v>72</v>
      </c>
      <c r="B109" s="0" t="n">
        <v>11</v>
      </c>
      <c r="C109" s="0" t="n">
        <v>64</v>
      </c>
      <c r="D109" s="3" t="n">
        <v>0.3375</v>
      </c>
      <c r="E109" s="3" t="n">
        <v>0.366</v>
      </c>
      <c r="F109" s="3" t="n">
        <f aca="false">E109-D109</f>
        <v>0.0285</v>
      </c>
    </row>
    <row r="110" customFormat="false" ht="15" hidden="false" customHeight="false" outlineLevel="0" collapsed="false">
      <c r="A110" s="0" t="n">
        <v>72</v>
      </c>
      <c r="B110" s="0" t="n">
        <v>12</v>
      </c>
      <c r="C110" s="0" t="n">
        <v>65</v>
      </c>
      <c r="D110" s="3" t="n">
        <v>0.3925</v>
      </c>
      <c r="E110" s="3" t="n">
        <v>0.3945</v>
      </c>
      <c r="F110" s="3" t="n">
        <f aca="false">E110-D110</f>
        <v>0.002</v>
      </c>
    </row>
    <row r="111" customFormat="false" ht="15" hidden="false" customHeight="false" outlineLevel="0" collapsed="false">
      <c r="A111" s="0" t="n">
        <v>72</v>
      </c>
      <c r="B111" s="0" t="n">
        <v>13</v>
      </c>
      <c r="C111" s="0" t="n">
        <v>66</v>
      </c>
      <c r="D111" s="3" t="n">
        <v>0.42</v>
      </c>
      <c r="E111" s="3" t="n">
        <v>0.4125</v>
      </c>
      <c r="F111" s="3" t="n">
        <f aca="false">E111-D111</f>
        <v>-0.00750000000000001</v>
      </c>
    </row>
    <row r="112" customFormat="false" ht="15" hidden="false" customHeight="false" outlineLevel="0" collapsed="false">
      <c r="A112" s="0" t="n">
        <v>72</v>
      </c>
      <c r="B112" s="0" t="n">
        <v>14</v>
      </c>
      <c r="C112" s="0" t="n">
        <v>67</v>
      </c>
      <c r="D112" s="3" t="n">
        <v>0.4265</v>
      </c>
      <c r="E112" s="3" t="n">
        <v>0.455</v>
      </c>
      <c r="F112" s="3" t="n">
        <f aca="false">E112-D112</f>
        <v>0.0285</v>
      </c>
    </row>
    <row r="113" customFormat="false" ht="15" hidden="false" customHeight="false" outlineLevel="0" collapsed="false">
      <c r="A113" s="0" t="n">
        <v>72</v>
      </c>
      <c r="B113" s="0" t="n">
        <v>15</v>
      </c>
      <c r="C113" s="0" t="n">
        <v>68</v>
      </c>
      <c r="D113" s="3" t="n">
        <v>0.445</v>
      </c>
      <c r="E113" s="3" t="n">
        <v>0.461</v>
      </c>
      <c r="F113" s="3" t="n">
        <f aca="false">E113-D113</f>
        <v>0.016</v>
      </c>
    </row>
    <row r="114" customFormat="false" ht="15" hidden="false" customHeight="false" outlineLevel="0" collapsed="false">
      <c r="A114" s="0" t="n">
        <v>72</v>
      </c>
      <c r="B114" s="0" t="n">
        <v>16</v>
      </c>
      <c r="C114" s="0" t="n">
        <v>69</v>
      </c>
      <c r="D114" s="3" t="n">
        <v>0.462</v>
      </c>
      <c r="E114" s="3" t="n">
        <v>0.4675</v>
      </c>
      <c r="F114" s="3" t="n">
        <f aca="false">E114-D114</f>
        <v>0.00550000000000001</v>
      </c>
    </row>
    <row r="115" customFormat="false" ht="15" hidden="false" customHeight="false" outlineLevel="0" collapsed="false">
      <c r="A115" s="0" t="n">
        <v>72</v>
      </c>
      <c r="B115" s="0" t="n">
        <v>17</v>
      </c>
      <c r="C115" s="0" t="n">
        <v>78</v>
      </c>
      <c r="D115" s="3" t="n">
        <v>0.476</v>
      </c>
      <c r="E115" s="3" t="n">
        <v>0.4685</v>
      </c>
      <c r="F115" s="3" t="n">
        <f aca="false">E115-D115</f>
        <v>-0.00749999999999995</v>
      </c>
    </row>
    <row r="116" customFormat="false" ht="15" hidden="false" customHeight="false" outlineLevel="0" collapsed="false">
      <c r="A116" s="0" t="n">
        <v>72</v>
      </c>
      <c r="B116" s="0" t="n">
        <v>18</v>
      </c>
      <c r="C116" s="0" t="n">
        <v>89</v>
      </c>
      <c r="D116" s="3" t="n">
        <v>0.4885</v>
      </c>
      <c r="E116" s="3" t="n">
        <v>0.487</v>
      </c>
      <c r="F116" s="3" t="n">
        <f aca="false">E116-D116</f>
        <v>-0.0015</v>
      </c>
    </row>
    <row r="117" customFormat="false" ht="15" hidden="false" customHeight="false" outlineLevel="0" collapsed="false">
      <c r="A117" s="0" t="n">
        <v>72</v>
      </c>
      <c r="B117" s="0" t="n">
        <v>19</v>
      </c>
      <c r="C117" s="0" t="n">
        <v>88</v>
      </c>
      <c r="D117" s="3" t="n">
        <v>0.4865</v>
      </c>
      <c r="E117" s="3" t="n">
        <v>0.489</v>
      </c>
      <c r="F117" s="3" t="n">
        <f aca="false">E117-D117</f>
        <v>0.0025</v>
      </c>
    </row>
    <row r="118" customFormat="false" ht="15" hidden="false" customHeight="false" outlineLevel="0" collapsed="false">
      <c r="A118" s="0" t="n">
        <v>72</v>
      </c>
      <c r="B118" s="0" t="n">
        <v>20</v>
      </c>
      <c r="C118" s="0" t="n">
        <v>87</v>
      </c>
      <c r="D118" s="3" t="n">
        <v>0.458</v>
      </c>
      <c r="E118" s="3" t="n">
        <v>0.4615</v>
      </c>
      <c r="F118" s="3" t="n">
        <f aca="false">E118-D118</f>
        <v>0.0035</v>
      </c>
    </row>
    <row r="119" customFormat="false" ht="15" hidden="false" customHeight="false" outlineLevel="0" collapsed="false">
      <c r="A119" s="0" t="n">
        <v>72</v>
      </c>
      <c r="B119" s="0" t="n">
        <v>21</v>
      </c>
      <c r="C119" s="0" t="n">
        <v>86</v>
      </c>
      <c r="D119" s="3" t="n">
        <v>0.487</v>
      </c>
      <c r="E119" s="3" t="n">
        <v>0.4775</v>
      </c>
      <c r="F119" s="3" t="n">
        <f aca="false">E119-D119</f>
        <v>-0.00950000000000001</v>
      </c>
    </row>
    <row r="120" customFormat="false" ht="15" hidden="false" customHeight="false" outlineLevel="0" collapsed="false">
      <c r="A120" s="0" t="n">
        <v>72</v>
      </c>
      <c r="B120" s="0" t="n">
        <v>22</v>
      </c>
      <c r="C120" s="0" t="n">
        <v>85</v>
      </c>
      <c r="D120" s="3" t="n">
        <v>0.422</v>
      </c>
      <c r="E120" s="3" t="n">
        <v>0.4215</v>
      </c>
      <c r="F120" s="3" t="n">
        <f aca="false">E120-D120</f>
        <v>-0.0005</v>
      </c>
    </row>
    <row r="121" customFormat="false" ht="15" hidden="false" customHeight="false" outlineLevel="0" collapsed="false">
      <c r="A121" s="0" t="n">
        <v>72</v>
      </c>
      <c r="B121" s="0" t="n">
        <v>23</v>
      </c>
      <c r="C121" s="0" t="n">
        <v>84</v>
      </c>
      <c r="D121" s="3" t="n">
        <v>0.4805</v>
      </c>
      <c r="E121" s="3" t="n">
        <v>0.479</v>
      </c>
      <c r="F121" s="3" t="n">
        <f aca="false">E121-D121</f>
        <v>-0.0015</v>
      </c>
    </row>
    <row r="122" customFormat="false" ht="15" hidden="false" customHeight="false" outlineLevel="0" collapsed="false">
      <c r="A122" s="0" t="n">
        <v>72</v>
      </c>
      <c r="B122" s="0" t="n">
        <v>24</v>
      </c>
      <c r="C122" s="0" t="n">
        <v>83</v>
      </c>
      <c r="D122" s="3" t="n">
        <v>0.4765</v>
      </c>
      <c r="E122" s="3" t="n">
        <v>0.49</v>
      </c>
      <c r="F122" s="3" t="n">
        <f aca="false">E122-D122</f>
        <v>0.0135</v>
      </c>
    </row>
    <row r="123" customFormat="false" ht="15" hidden="false" customHeight="false" outlineLevel="0" collapsed="false">
      <c r="A123" s="0" t="n">
        <v>72</v>
      </c>
      <c r="B123" s="0" t="n">
        <v>25</v>
      </c>
      <c r="C123" s="0" t="n">
        <v>96</v>
      </c>
      <c r="D123" s="3" t="n">
        <v>0.4705</v>
      </c>
      <c r="E123" s="3" t="n">
        <v>0.479</v>
      </c>
      <c r="F123" s="3" t="n">
        <f aca="false">E123-D123</f>
        <v>0.00850000000000001</v>
      </c>
    </row>
    <row r="124" customFormat="false" ht="15" hidden="false" customHeight="false" outlineLevel="0" collapsed="false">
      <c r="A124" s="0" t="n">
        <v>72</v>
      </c>
      <c r="B124" s="0" t="n">
        <v>26</v>
      </c>
      <c r="C124" s="0" t="n">
        <v>103</v>
      </c>
      <c r="D124" s="3" t="n">
        <v>0.483</v>
      </c>
      <c r="E124" s="3" t="n">
        <v>0.4785</v>
      </c>
      <c r="F124" s="3" t="n">
        <f aca="false">E124-D124</f>
        <v>-0.0045</v>
      </c>
    </row>
    <row r="125" customFormat="false" ht="15" hidden="false" customHeight="false" outlineLevel="0" collapsed="false">
      <c r="A125" s="0" t="n">
        <v>72</v>
      </c>
      <c r="B125" s="0" t="n">
        <v>27</v>
      </c>
      <c r="C125" s="0" t="n">
        <v>104</v>
      </c>
      <c r="D125" s="3" t="n">
        <v>0.481</v>
      </c>
      <c r="E125" s="3" t="n">
        <v>0.457</v>
      </c>
      <c r="F125" s="3" t="n">
        <f aca="false">E125-D125</f>
        <v>-0.024</v>
      </c>
    </row>
    <row r="126" customFormat="false" ht="15" hidden="false" customHeight="false" outlineLevel="0" collapsed="false">
      <c r="A126" s="0" t="n">
        <v>72</v>
      </c>
      <c r="B126" s="0" t="n">
        <v>28</v>
      </c>
      <c r="C126" s="0" t="n">
        <v>105</v>
      </c>
      <c r="D126" s="3" t="n">
        <v>0.4675</v>
      </c>
      <c r="E126" s="3" t="n">
        <v>0.449</v>
      </c>
      <c r="F126" s="3" t="n">
        <f aca="false">E126-D126</f>
        <v>-0.0185</v>
      </c>
    </row>
    <row r="127" customFormat="false" ht="15" hidden="false" customHeight="false" outlineLevel="0" collapsed="false">
      <c r="A127" s="0" t="n">
        <v>72</v>
      </c>
      <c r="B127" s="0" t="n">
        <v>29</v>
      </c>
      <c r="C127" s="0" t="n">
        <v>106</v>
      </c>
      <c r="D127" s="3" t="n">
        <v>0.43</v>
      </c>
      <c r="E127" s="3" t="n">
        <v>0.4275</v>
      </c>
      <c r="F127" s="3" t="n">
        <f aca="false">E127-D127</f>
        <v>-0.0025</v>
      </c>
    </row>
    <row r="128" customFormat="false" ht="15" hidden="false" customHeight="false" outlineLevel="0" collapsed="false">
      <c r="A128" s="0" t="n">
        <v>72</v>
      </c>
      <c r="B128" s="0" t="n">
        <v>30</v>
      </c>
      <c r="C128" s="0" t="n">
        <v>107</v>
      </c>
      <c r="D128" s="3" t="n">
        <v>0.403</v>
      </c>
      <c r="E128" s="3" t="n">
        <v>0.3955</v>
      </c>
      <c r="F128" s="3" t="n">
        <f aca="false">E128-D128</f>
        <v>-0.00750000000000001</v>
      </c>
    </row>
    <row r="129" customFormat="false" ht="15" hidden="false" customHeight="false" outlineLevel="0" collapsed="false">
      <c r="A129" s="0" t="n">
        <v>72</v>
      </c>
      <c r="B129" s="0" t="n">
        <v>31</v>
      </c>
      <c r="C129" s="0" t="n">
        <v>108</v>
      </c>
      <c r="D129" s="3" t="n">
        <v>0.3775</v>
      </c>
      <c r="E129" s="3" t="n">
        <v>0.3695</v>
      </c>
      <c r="F129" s="3" t="n">
        <f aca="false">E129-D129</f>
        <v>-0.00800000000000001</v>
      </c>
    </row>
    <row r="130" customFormat="false" ht="15" hidden="false" customHeight="false" outlineLevel="0" collapsed="false">
      <c r="A130" s="0" t="n">
        <v>72</v>
      </c>
      <c r="B130" s="0" t="n">
        <v>32</v>
      </c>
      <c r="C130" s="0" t="n">
        <v>109</v>
      </c>
      <c r="D130" s="3" t="n">
        <v>0.3375</v>
      </c>
      <c r="E130" s="3" t="n">
        <v>0.3255</v>
      </c>
      <c r="F130" s="3" t="n">
        <f aca="false">E130-D130</f>
        <v>-0.012</v>
      </c>
    </row>
    <row r="131" customFormat="false" ht="15" hidden="false" customHeight="false" outlineLevel="0" collapsed="false">
      <c r="A131" s="0" t="n">
        <v>72</v>
      </c>
      <c r="B131" s="0" t="n">
        <v>33</v>
      </c>
      <c r="C131" s="0" t="n">
        <v>110</v>
      </c>
      <c r="D131" s="3" t="n">
        <v>0.307</v>
      </c>
      <c r="E131" s="3" t="n">
        <v>0.2965</v>
      </c>
      <c r="F131" s="3" t="n">
        <f aca="false">E131-D131</f>
        <v>-0.0105</v>
      </c>
    </row>
    <row r="132" customFormat="false" ht="15" hidden="false" customHeight="false" outlineLevel="0" collapsed="false">
      <c r="A132" s="0" t="n">
        <v>72</v>
      </c>
      <c r="B132" s="0" t="n">
        <v>34</v>
      </c>
      <c r="C132" s="0" t="n">
        <v>111</v>
      </c>
      <c r="D132" s="3" t="n">
        <v>0.2885</v>
      </c>
      <c r="E132" s="3" t="n">
        <v>0.288</v>
      </c>
      <c r="F132" s="3" t="n">
        <f aca="false">E132-D132</f>
        <v>-0.0005</v>
      </c>
    </row>
    <row r="133" customFormat="false" ht="15" hidden="false" customHeight="false" outlineLevel="0" collapsed="false">
      <c r="A133" s="0" t="n">
        <v>72</v>
      </c>
      <c r="B133" s="0" t="n">
        <v>35</v>
      </c>
      <c r="C133" s="0" t="n">
        <v>98</v>
      </c>
      <c r="D133" s="3" t="n">
        <v>0.2715</v>
      </c>
      <c r="E133" s="3" t="n">
        <v>0.2855</v>
      </c>
      <c r="F133" s="3" t="n">
        <f aca="false">E133-D133</f>
        <v>0.014</v>
      </c>
    </row>
    <row r="134" customFormat="false" ht="15" hidden="false" customHeight="false" outlineLevel="0" collapsed="false">
      <c r="A134" s="0" t="n">
        <v>72</v>
      </c>
      <c r="B134" s="0" t="n">
        <v>36</v>
      </c>
      <c r="C134" s="0" t="n">
        <v>91</v>
      </c>
      <c r="D134" s="3" t="n">
        <v>0.286</v>
      </c>
      <c r="E134" s="3" t="n">
        <v>0.278</v>
      </c>
      <c r="F134" s="3" t="n">
        <f aca="false">E134-D134</f>
        <v>-0.00799999999999995</v>
      </c>
    </row>
    <row r="135" customFormat="false" ht="15" hidden="false" customHeight="false" outlineLevel="0" collapsed="false">
      <c r="A135" s="0" t="n">
        <v>72</v>
      </c>
      <c r="B135" s="0" t="n">
        <v>37</v>
      </c>
      <c r="C135" s="0" t="n">
        <v>92</v>
      </c>
      <c r="D135" s="3" t="n">
        <v>0.276</v>
      </c>
      <c r="E135" s="3" t="n">
        <v>0.29</v>
      </c>
      <c r="F135" s="3" t="n">
        <f aca="false">E135-D135</f>
        <v>0.014</v>
      </c>
    </row>
    <row r="136" customFormat="false" ht="15" hidden="false" customHeight="false" outlineLevel="0" collapsed="false">
      <c r="A136" s="0" t="n">
        <v>72</v>
      </c>
      <c r="B136" s="0" t="n">
        <v>38</v>
      </c>
      <c r="C136" s="0" t="n">
        <v>93</v>
      </c>
      <c r="D136" s="3" t="n">
        <v>0.259</v>
      </c>
      <c r="E136" s="3" t="n">
        <v>0.26</v>
      </c>
      <c r="F136" s="3" t="n">
        <f aca="false">E136-D136</f>
        <v>0.001</v>
      </c>
    </row>
    <row r="137" customFormat="false" ht="15" hidden="false" customHeight="false" outlineLevel="0" collapsed="false">
      <c r="A137" s="0" t="n">
        <v>72</v>
      </c>
      <c r="B137" s="0" t="n">
        <v>39</v>
      </c>
      <c r="C137" s="0" t="n">
        <v>79</v>
      </c>
      <c r="D137" s="3" t="n">
        <v>0.2625</v>
      </c>
      <c r="E137" s="3" t="n">
        <v>0.2755</v>
      </c>
      <c r="F137" s="3" t="n">
        <f aca="false">E137-D137</f>
        <v>0.013</v>
      </c>
    </row>
    <row r="138" customFormat="false" ht="15" hidden="false" customHeight="false" outlineLevel="0" collapsed="false">
      <c r="A138" s="0" t="n">
        <v>72</v>
      </c>
      <c r="B138" s="0" t="n">
        <v>40</v>
      </c>
      <c r="C138" s="0" t="n">
        <v>73</v>
      </c>
      <c r="D138" s="3" t="n">
        <v>0.268</v>
      </c>
      <c r="E138" s="3" t="n">
        <v>0.2495</v>
      </c>
      <c r="F138" s="3" t="n">
        <f aca="false">E138-D138</f>
        <v>-0.0185</v>
      </c>
    </row>
    <row r="139" customFormat="false" ht="15" hidden="false" customHeight="false" outlineLevel="0" collapsed="false">
      <c r="A139" s="0" t="n">
        <v>72</v>
      </c>
      <c r="B139" s="0" t="n">
        <v>41</v>
      </c>
      <c r="C139" s="0" t="n">
        <v>74</v>
      </c>
      <c r="D139" s="3" t="n">
        <v>0.265</v>
      </c>
      <c r="E139" s="3" t="n">
        <v>0.257</v>
      </c>
      <c r="F139" s="3" t="n">
        <f aca="false">E139-D139</f>
        <v>-0.00800000000000001</v>
      </c>
    </row>
    <row r="140" customFormat="false" ht="15" hidden="false" customHeight="false" outlineLevel="0" collapsed="false">
      <c r="A140" s="0" t="n">
        <v>72</v>
      </c>
      <c r="B140" s="0" t="n">
        <v>42</v>
      </c>
      <c r="C140" s="0" t="n">
        <v>75</v>
      </c>
      <c r="D140" s="3" t="n">
        <v>0.2735</v>
      </c>
      <c r="E140" s="3" t="n">
        <v>0.278</v>
      </c>
      <c r="F140" s="3" t="n">
        <f aca="false">E140-D140</f>
        <v>0.0045</v>
      </c>
    </row>
    <row r="141" customFormat="false" ht="15" hidden="false" customHeight="false" outlineLevel="0" collapsed="false">
      <c r="A141" s="0" t="n">
        <v>72</v>
      </c>
      <c r="B141" s="0" t="n">
        <v>43</v>
      </c>
      <c r="C141" s="0" t="n">
        <v>59</v>
      </c>
      <c r="D141" s="3" t="n">
        <v>0.2695</v>
      </c>
      <c r="E141" s="3" t="n">
        <v>0.2675</v>
      </c>
      <c r="F141" s="3" t="n">
        <f aca="false">E141-D141</f>
        <v>-0.002</v>
      </c>
    </row>
    <row r="142" customFormat="false" ht="15" hidden="false" customHeight="false" outlineLevel="0" collapsed="false">
      <c r="A142" s="0" t="n">
        <v>72</v>
      </c>
      <c r="B142" s="0" t="n">
        <v>44</v>
      </c>
      <c r="C142" s="0" t="n">
        <v>55</v>
      </c>
      <c r="D142" s="3" t="n">
        <v>0.258</v>
      </c>
      <c r="E142" s="3" t="n">
        <v>0.2415</v>
      </c>
      <c r="F142" s="3" t="n">
        <f aca="false">E142-D142</f>
        <v>-0.0165</v>
      </c>
    </row>
    <row r="143" customFormat="false" ht="15" hidden="false" customHeight="false" outlineLevel="0" collapsed="false">
      <c r="A143" s="0" t="n">
        <v>72</v>
      </c>
      <c r="B143" s="0" t="n">
        <v>45</v>
      </c>
      <c r="C143" s="0" t="n">
        <v>54</v>
      </c>
      <c r="D143" s="3" t="n">
        <v>0.2825</v>
      </c>
      <c r="E143" s="3" t="n">
        <v>0.2755</v>
      </c>
      <c r="F143" s="3" t="n">
        <f aca="false">E143-D143</f>
        <v>-0.00699999999999995</v>
      </c>
    </row>
    <row r="144" customFormat="false" ht="15" hidden="false" customHeight="false" outlineLevel="0" collapsed="false">
      <c r="A144" s="0" t="n">
        <v>72</v>
      </c>
      <c r="B144" s="0" t="n">
        <v>46</v>
      </c>
      <c r="C144" s="0" t="n">
        <v>53</v>
      </c>
      <c r="D144" s="3" t="n">
        <v>0.2905</v>
      </c>
      <c r="E144" s="3" t="n">
        <v>0.2525</v>
      </c>
      <c r="F144" s="3" t="n">
        <f aca="false">E144-D144</f>
        <v>-0.038</v>
      </c>
    </row>
    <row r="145" customFormat="false" ht="15" hidden="false" customHeight="false" outlineLevel="0" collapsed="false">
      <c r="A145" s="0" t="n">
        <v>72</v>
      </c>
      <c r="B145" s="0" t="n">
        <v>47</v>
      </c>
      <c r="C145" s="0" t="n">
        <v>52</v>
      </c>
      <c r="D145" s="3" t="n">
        <v>0.2915</v>
      </c>
      <c r="E145" s="3" t="n">
        <v>0.2705</v>
      </c>
      <c r="F145" s="3" t="n">
        <f aca="false">E145-D145</f>
        <v>-0.021</v>
      </c>
    </row>
    <row r="146" customFormat="false" ht="15" hidden="false" customHeight="false" outlineLevel="0" collapsed="false">
      <c r="A146" s="0" t="n">
        <v>72</v>
      </c>
      <c r="B146" s="0" t="n">
        <v>48</v>
      </c>
      <c r="C146" s="0" t="n">
        <v>51</v>
      </c>
      <c r="D146" s="3" t="n">
        <v>0.31</v>
      </c>
      <c r="E146" s="3" t="n">
        <v>0.2725</v>
      </c>
      <c r="F146" s="3" t="n">
        <f aca="false">E146-D146</f>
        <v>-0.0375</v>
      </c>
    </row>
    <row r="147" customFormat="false" ht="15" hidden="false" customHeight="false" outlineLevel="0" collapsed="false">
      <c r="A147" s="0" t="n">
        <v>72</v>
      </c>
      <c r="B147" s="0" t="n">
        <v>49</v>
      </c>
      <c r="C147" s="0" t="n">
        <v>50</v>
      </c>
      <c r="D147" s="3" t="n">
        <v>0.311</v>
      </c>
      <c r="E147" s="3" t="n">
        <v>0.28</v>
      </c>
      <c r="F147" s="3" t="n">
        <f aca="false">E147-D147</f>
        <v>-0.031</v>
      </c>
    </row>
    <row r="148" customFormat="false" ht="15" hidden="false" customHeight="false" outlineLevel="0" collapsed="false">
      <c r="A148" s="0" t="n">
        <v>72</v>
      </c>
      <c r="B148" s="0" t="n">
        <v>50</v>
      </c>
      <c r="C148" s="0" t="n">
        <v>49</v>
      </c>
      <c r="D148" s="3" t="n">
        <v>0.3225</v>
      </c>
      <c r="E148" s="3" t="n">
        <v>0.275</v>
      </c>
      <c r="F148" s="3" t="n">
        <f aca="false">E148-D148</f>
        <v>-0.0475</v>
      </c>
    </row>
    <row r="149" customFormat="false" ht="15" hidden="false" customHeight="false" outlineLevel="0" collapsed="false">
      <c r="A149" s="0" t="n">
        <v>72</v>
      </c>
      <c r="B149" s="0" t="n">
        <v>51</v>
      </c>
      <c r="C149" s="0" t="n">
        <v>48</v>
      </c>
      <c r="D149" s="3" t="n">
        <v>0.348</v>
      </c>
      <c r="E149" s="3" t="n">
        <v>0.273</v>
      </c>
      <c r="F149" s="3" t="n">
        <f aca="false">E149-D149</f>
        <v>-0.075</v>
      </c>
    </row>
    <row r="150" customFormat="false" ht="15" hidden="false" customHeight="false" outlineLevel="0" collapsed="false">
      <c r="A150" s="0" t="n">
        <v>72</v>
      </c>
      <c r="B150" s="0" t="n">
        <v>52</v>
      </c>
      <c r="C150" s="0" t="n">
        <v>47</v>
      </c>
      <c r="D150" s="3" t="n">
        <v>0.3515</v>
      </c>
      <c r="E150" s="3" t="n">
        <v>0.284</v>
      </c>
      <c r="F150" s="3" t="n">
        <f aca="false">E150-D150</f>
        <v>-0.0675</v>
      </c>
    </row>
    <row r="151" customFormat="false" ht="15" hidden="false" customHeight="false" outlineLevel="0" collapsed="false">
      <c r="A151" s="0" t="n">
        <v>72</v>
      </c>
      <c r="B151" s="0" t="n">
        <v>53</v>
      </c>
      <c r="C151" s="0" t="n">
        <v>46</v>
      </c>
      <c r="D151" s="3" t="n">
        <v>0.371</v>
      </c>
      <c r="E151" s="3" t="n">
        <v>0.2875</v>
      </c>
      <c r="F151" s="3" t="n">
        <f aca="false">E151-D151</f>
        <v>-0.0835</v>
      </c>
    </row>
    <row r="152" customFormat="false" ht="15" hidden="false" customHeight="false" outlineLevel="0" collapsed="false">
      <c r="A152" s="0" t="n">
        <v>72</v>
      </c>
      <c r="B152" s="0" t="n">
        <v>54</v>
      </c>
      <c r="C152" s="0" t="n">
        <v>45</v>
      </c>
      <c r="D152" s="3" t="n">
        <v>0.393</v>
      </c>
      <c r="E152" s="3" t="n">
        <v>0.2915</v>
      </c>
      <c r="F152" s="3" t="n">
        <f aca="false">E152-D152</f>
        <v>-0.1015</v>
      </c>
    </row>
    <row r="153" customFormat="false" ht="15" hidden="false" customHeight="false" outlineLevel="0" collapsed="false">
      <c r="A153" s="0" t="n">
        <v>72</v>
      </c>
      <c r="B153" s="0" t="n">
        <v>55</v>
      </c>
      <c r="C153" s="0" t="n">
        <v>37</v>
      </c>
      <c r="D153" s="3" t="n">
        <v>0.422</v>
      </c>
      <c r="E153" s="3" t="n">
        <v>0.319</v>
      </c>
      <c r="F153" s="3" t="n">
        <f aca="false">E153-D153</f>
        <v>-0.103</v>
      </c>
    </row>
    <row r="154" customFormat="false" ht="15" hidden="false" customHeight="false" outlineLevel="0" collapsed="false">
      <c r="A154" s="0" t="n">
        <v>72</v>
      </c>
      <c r="B154" s="0" t="n">
        <v>56</v>
      </c>
      <c r="C154" s="0" t="n">
        <v>25</v>
      </c>
      <c r="D154" s="3" t="n">
        <v>0.444</v>
      </c>
      <c r="E154" s="3" t="n">
        <v>0.39</v>
      </c>
      <c r="F154" s="3" t="n">
        <f aca="false">E154-D154</f>
        <v>-0.054</v>
      </c>
    </row>
    <row r="155" customFormat="false" ht="15" hidden="false" customHeight="false" outlineLevel="0" collapsed="false">
      <c r="A155" s="0" t="n">
        <v>72</v>
      </c>
      <c r="B155" s="0" t="n">
        <v>57</v>
      </c>
      <c r="C155" s="0" t="n">
        <v>26</v>
      </c>
      <c r="D155" s="3" t="n">
        <v>0.484</v>
      </c>
      <c r="E155" s="3" t="n">
        <v>0.4855</v>
      </c>
      <c r="F155" s="3" t="n">
        <f aca="false">E155-D155</f>
        <v>0.0015</v>
      </c>
    </row>
    <row r="156" customFormat="false" ht="15" hidden="false" customHeight="false" outlineLevel="0" collapsed="false">
      <c r="A156" s="0" t="n">
        <v>72</v>
      </c>
      <c r="B156" s="0" t="n">
        <v>58</v>
      </c>
      <c r="C156" s="0" t="n">
        <v>27</v>
      </c>
      <c r="D156" s="3" t="n">
        <v>0.466</v>
      </c>
      <c r="E156" s="3" t="n">
        <v>0.4775</v>
      </c>
      <c r="F156" s="3" t="n">
        <f aca="false">E156-D156</f>
        <v>0.0115</v>
      </c>
    </row>
    <row r="157" customFormat="false" ht="15" hidden="false" customHeight="false" outlineLevel="0" collapsed="false">
      <c r="A157" s="0" t="n">
        <v>72</v>
      </c>
      <c r="B157" s="0" t="n">
        <v>59</v>
      </c>
      <c r="C157" s="0" t="n">
        <v>28</v>
      </c>
      <c r="D157" s="3" t="n">
        <v>0.467</v>
      </c>
      <c r="E157" s="3" t="n">
        <v>0.4905</v>
      </c>
      <c r="F157" s="3" t="n">
        <f aca="false">E157-D157</f>
        <v>0.0235</v>
      </c>
    </row>
    <row r="158" customFormat="false" ht="15" hidden="false" customHeight="false" outlineLevel="0" collapsed="false">
      <c r="A158" s="0" t="n">
        <v>72</v>
      </c>
      <c r="B158" s="0" t="n">
        <v>60</v>
      </c>
      <c r="C158" s="0" t="n">
        <v>29</v>
      </c>
      <c r="D158" s="3" t="n">
        <v>0.4785</v>
      </c>
      <c r="E158" s="3" t="n">
        <v>0.4775</v>
      </c>
      <c r="F158" s="3" t="n">
        <f aca="false">E158-D158</f>
        <v>-0.001</v>
      </c>
    </row>
    <row r="159" customFormat="false" ht="15" hidden="false" customHeight="false" outlineLevel="0" collapsed="false">
      <c r="A159" s="0" t="n">
        <v>72</v>
      </c>
      <c r="B159" s="0" t="n">
        <v>61</v>
      </c>
      <c r="C159" s="0" t="n">
        <v>30</v>
      </c>
      <c r="D159" s="3" t="n">
        <v>0.486</v>
      </c>
      <c r="E159" s="3" t="n">
        <v>0.477</v>
      </c>
      <c r="F159" s="3" t="n">
        <f aca="false">E159-D159</f>
        <v>-0.00900000000000001</v>
      </c>
    </row>
    <row r="160" customFormat="false" ht="15" hidden="false" customHeight="false" outlineLevel="0" collapsed="false">
      <c r="A160" s="0" t="n">
        <v>72</v>
      </c>
      <c r="B160" s="0" t="n">
        <v>62</v>
      </c>
      <c r="C160" s="0" t="n">
        <v>31</v>
      </c>
      <c r="D160" s="3" t="n">
        <v>0.475</v>
      </c>
      <c r="E160" s="3" t="n">
        <v>0.4735</v>
      </c>
      <c r="F160" s="3" t="n">
        <f aca="false">E160-D160</f>
        <v>-0.0015</v>
      </c>
    </row>
    <row r="161" customFormat="false" ht="15" hidden="false" customHeight="false" outlineLevel="0" collapsed="false">
      <c r="A161" s="0" t="n">
        <v>72</v>
      </c>
      <c r="B161" s="0" t="n">
        <v>63</v>
      </c>
      <c r="C161" s="0" t="n">
        <v>18</v>
      </c>
      <c r="D161" s="3" t="n">
        <v>0.4805</v>
      </c>
      <c r="E161" s="3" t="n">
        <v>0.4725</v>
      </c>
      <c r="F161" s="3" t="n">
        <f aca="false">E161-D161</f>
        <v>-0.00800000000000001</v>
      </c>
    </row>
    <row r="162" customFormat="false" ht="15" hidden="false" customHeight="false" outlineLevel="0" collapsed="false">
      <c r="A162" s="0" t="n">
        <v>72</v>
      </c>
      <c r="B162" s="0" t="n">
        <v>64</v>
      </c>
      <c r="C162" s="0" t="n">
        <v>11</v>
      </c>
      <c r="D162" s="3" t="n">
        <v>0.48</v>
      </c>
      <c r="E162" s="3" t="n">
        <v>0.4655</v>
      </c>
      <c r="F162" s="3" t="n">
        <f aca="false">E162-D162</f>
        <v>-0.0145</v>
      </c>
    </row>
    <row r="163" customFormat="false" ht="15" hidden="false" customHeight="false" outlineLevel="0" collapsed="false">
      <c r="A163" s="0" t="n">
        <v>72</v>
      </c>
      <c r="B163" s="0" t="n">
        <v>65</v>
      </c>
      <c r="C163" s="0" t="n">
        <v>10</v>
      </c>
      <c r="D163" s="3" t="n">
        <v>0.454</v>
      </c>
      <c r="E163" s="3" t="n">
        <v>0.4475</v>
      </c>
      <c r="F163" s="3" t="n">
        <f aca="false">E163-D163</f>
        <v>-0.00650000000000001</v>
      </c>
    </row>
    <row r="164" customFormat="false" ht="15" hidden="false" customHeight="false" outlineLevel="0" collapsed="false">
      <c r="A164" s="0" t="n">
        <v>72</v>
      </c>
      <c r="B164" s="0" t="n">
        <v>66</v>
      </c>
      <c r="C164" s="0" t="n">
        <v>9</v>
      </c>
      <c r="D164" s="3" t="n">
        <v>0.3495</v>
      </c>
      <c r="E164" s="3" t="n">
        <v>0.3665</v>
      </c>
      <c r="F164" s="3" t="n">
        <f aca="false">E164-D164</f>
        <v>0.017</v>
      </c>
    </row>
    <row r="165" customFormat="false" ht="15" hidden="false" customHeight="false" outlineLevel="0" collapsed="false">
      <c r="A165" s="0" t="n">
        <v>72</v>
      </c>
      <c r="B165" s="0" t="n">
        <v>67</v>
      </c>
      <c r="C165" s="0" t="n">
        <v>8</v>
      </c>
      <c r="D165" s="3" t="n">
        <v>0.4825</v>
      </c>
      <c r="E165" s="3" t="n">
        <v>0.477</v>
      </c>
      <c r="F165" s="3" t="n">
        <f aca="false">E165-D165</f>
        <v>-0.00550000000000001</v>
      </c>
    </row>
    <row r="166" customFormat="false" ht="15" hidden="false" customHeight="false" outlineLevel="0" collapsed="false">
      <c r="A166" s="0" t="n">
        <v>72</v>
      </c>
      <c r="B166" s="0" t="n">
        <v>68</v>
      </c>
      <c r="C166" s="0" t="n">
        <v>7</v>
      </c>
      <c r="D166" s="3" t="n">
        <v>0.471</v>
      </c>
      <c r="E166" s="3" t="n">
        <v>0.4765</v>
      </c>
      <c r="F166" s="3" t="n">
        <f aca="false">E166-D166</f>
        <v>0.00550000000000001</v>
      </c>
    </row>
    <row r="167" customFormat="false" ht="15" hidden="false" customHeight="false" outlineLevel="0" collapsed="false">
      <c r="A167" s="0" t="n">
        <v>72</v>
      </c>
      <c r="B167" s="0" t="n">
        <v>69</v>
      </c>
      <c r="C167" s="0" t="n">
        <v>6</v>
      </c>
      <c r="D167" s="3" t="n">
        <v>0.4855</v>
      </c>
      <c r="E167" s="3" t="n">
        <v>0.482</v>
      </c>
      <c r="F167" s="3" t="n">
        <f aca="false">E167-D167</f>
        <v>-0.0035</v>
      </c>
    </row>
    <row r="168" customFormat="false" ht="15" hidden="false" customHeight="false" outlineLevel="0" collapsed="false">
      <c r="A168" s="0" t="n">
        <v>72</v>
      </c>
      <c r="B168" s="0" t="n">
        <v>70</v>
      </c>
      <c r="C168" s="0" t="n">
        <v>5</v>
      </c>
      <c r="D168" s="3" t="n">
        <v>0.4785</v>
      </c>
      <c r="E168" s="3" t="n">
        <v>0.481</v>
      </c>
      <c r="F168" s="3" t="n">
        <f aca="false">E168-D168</f>
        <v>0.0025</v>
      </c>
    </row>
    <row r="169" customFormat="false" ht="15" hidden="false" customHeight="false" outlineLevel="0" collapsed="false">
      <c r="A169" s="0" t="n">
        <v>72</v>
      </c>
      <c r="B169" s="0" t="n">
        <v>71</v>
      </c>
      <c r="C169" s="0" t="n">
        <v>4</v>
      </c>
      <c r="D169" s="3" t="n">
        <v>0.4905</v>
      </c>
      <c r="E169" s="3" t="n">
        <v>0.4855</v>
      </c>
      <c r="F169" s="3" t="n">
        <f aca="false">E169-D169</f>
        <v>-0.005</v>
      </c>
    </row>
  </sheetData>
  <conditionalFormatting sqref="D2:E169">
    <cfRule type="expression" priority="2" aboveAverage="0" equalAverage="0" bottom="0" percent="0" rank="0" text="" dxfId="0">
      <formula>D2&gt;0.44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2026-10-30T13:20:48Z</dcterms:created>
  <dc:creator>openpyxl</dc:creator>
  <dc:description/>
  <dc:language>en-US</dc:language>
  <cp:lastModifiedBy/>
  <dcterms:modified xsi:type="dcterms:W3CDTF">2026-10-30T13:20:49Z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